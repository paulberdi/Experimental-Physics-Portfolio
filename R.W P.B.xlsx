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25"/>
  <workbookPr/>
  <mc:AlternateContent xmlns:mc="http://schemas.openxmlformats.org/markup-compatibility/2006">
    <mc:Choice Requires="x15">
      <x15ac:absPath xmlns:x15ac="http://schemas.microsoft.com/office/spreadsheetml/2010/11/ac" url="https://d.docs.live.net/a9ca40b38ac5bf1c/Escritorio/usm/FIS200/1/"/>
    </mc:Choice>
  </mc:AlternateContent>
  <xr:revisionPtr revIDLastSave="737" documentId="8_{F28AE1F4-C79E-4E98-B09B-4969D67EB33F}" xr6:coauthVersionLast="47" xr6:coauthVersionMax="47" xr10:uidLastSave="{F58116D8-543A-4F36-9918-F8B76CE87728}"/>
  <bookViews>
    <workbookView xWindow="-110" yWindow="-110" windowWidth="25820" windowHeight="1550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0" i="1" l="1"/>
  <c r="B149" i="1"/>
  <c r="W102" i="1"/>
  <c r="V102" i="1"/>
  <c r="W100" i="1"/>
  <c r="V100" i="1"/>
  <c r="W98" i="1"/>
  <c r="V98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67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61" i="1"/>
</calcChain>
</file>

<file path=xl/sharedStrings.xml><?xml version="1.0" encoding="utf-8"?>
<sst xmlns="http://schemas.openxmlformats.org/spreadsheetml/2006/main" count="79" uniqueCount="70">
  <si>
    <t>t / s</t>
  </si>
  <si>
    <t>s_1 / m</t>
  </si>
  <si>
    <t>s_2 / m</t>
  </si>
  <si>
    <t>s_3 / m</t>
  </si>
  <si>
    <t>s_4 / m</t>
  </si>
  <si>
    <t>s_5 / m</t>
  </si>
  <si>
    <t>s_6 / m</t>
  </si>
  <si>
    <t>s_7 / m</t>
  </si>
  <si>
    <t>s_8 / m</t>
  </si>
  <si>
    <t>s_9 / m</t>
  </si>
  <si>
    <t>s_10 / m</t>
  </si>
  <si>
    <t>s_11 / m</t>
  </si>
  <si>
    <t>s_12 / m</t>
  </si>
  <si>
    <t>s_13 / m</t>
  </si>
  <si>
    <t>s_14 / m</t>
  </si>
  <si>
    <t>s_15 / m</t>
  </si>
  <si>
    <t>s_16 / m</t>
  </si>
  <si>
    <t>v_1 / m/s</t>
  </si>
  <si>
    <t>v_2 / m/s</t>
  </si>
  <si>
    <t>v_3 / m/s</t>
  </si>
  <si>
    <t>v_4 / m/s</t>
  </si>
  <si>
    <t>v_5 / m/s</t>
  </si>
  <si>
    <t>v_6 / m/s</t>
  </si>
  <si>
    <t>v_7 / m/s</t>
  </si>
  <si>
    <t>v_8 / m/s</t>
  </si>
  <si>
    <t>v_9 / m/s</t>
  </si>
  <si>
    <t>v_10 / m/s</t>
  </si>
  <si>
    <t>v_11 / m/s</t>
  </si>
  <si>
    <t>v_12 / m/s</t>
  </si>
  <si>
    <t>v_13 / m/s</t>
  </si>
  <si>
    <t>v_14 / m/s</t>
  </si>
  <si>
    <t>v_15 / m/s</t>
  </si>
  <si>
    <t>v_16 / m/s</t>
  </si>
  <si>
    <t>a_1 / m/s²</t>
  </si>
  <si>
    <t>a_2 / m/s²</t>
  </si>
  <si>
    <t>a_3 / m/s²</t>
  </si>
  <si>
    <t>a_4 / m/s²</t>
  </si>
  <si>
    <t>a_5 / m/s²</t>
  </si>
  <si>
    <t>a_6 / m/s²</t>
  </si>
  <si>
    <t>a_7 / m/s²</t>
  </si>
  <si>
    <t>a_8 / m/s²</t>
  </si>
  <si>
    <t>a_9 / m/s²</t>
  </si>
  <si>
    <t>a_10 / m/s²</t>
  </si>
  <si>
    <t>a_11 / m/s²</t>
  </si>
  <si>
    <t>a_12 / m/s²</t>
  </si>
  <si>
    <t>a_13 / m/s²</t>
  </si>
  <si>
    <t>a_14 / m/s²</t>
  </si>
  <si>
    <t>a_15 / m/s²</t>
  </si>
  <si>
    <t>a_16 / m/s²</t>
  </si>
  <si>
    <t>PROMEDIO</t>
  </si>
  <si>
    <t>t [s]</t>
  </si>
  <si>
    <t>sₛ</t>
  </si>
  <si>
    <t>sᵢ</t>
  </si>
  <si>
    <t>t[s]</t>
  </si>
  <si>
    <t>vₛ</t>
  </si>
  <si>
    <t>vᵢ</t>
  </si>
  <si>
    <t>t</t>
  </si>
  <si>
    <t>a_s</t>
  </si>
  <si>
    <t>a_i</t>
  </si>
  <si>
    <t>-</t>
  </si>
  <si>
    <t xml:space="preserve"> </t>
  </si>
  <si>
    <t xml:space="preserve">MASA TABLA </t>
  </si>
  <si>
    <t>86,23 g</t>
  </si>
  <si>
    <t>g prom</t>
  </si>
  <si>
    <t>desv</t>
  </si>
  <si>
    <t>prom gen</t>
  </si>
  <si>
    <t>aₛ</t>
  </si>
  <si>
    <t>aᵢ</t>
  </si>
  <si>
    <t>prom a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</si>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</sst>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1"/>
          <c:tx>
            <c:strRef>
              <c:f>Hoja1!$C$1</c:f>
              <c:strCache>
                <c:ptCount val="1"/>
                <c:pt idx="0">
                  <c:v>s_2 / 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6.8334633846444864E-2"/>
                  <c:y val="-6.584363846761633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strRef>
              <c:f>Hoja1!$A$2:$A$86</c:f>
              <c:strCache>
                <c:ptCount val="81"/>
                <c:pt idx="0">
                  <c:v>0</c:v>
                </c:pt>
                <c:pt idx="1">
                  <c:v>0,006</c:v>
                </c:pt>
                <c:pt idx="2">
                  <c:v>0,013</c:v>
                </c:pt>
                <c:pt idx="3">
                  <c:v>0,019</c:v>
                </c:pt>
                <c:pt idx="4">
                  <c:v>0,025</c:v>
                </c:pt>
                <c:pt idx="5">
                  <c:v>0,031</c:v>
                </c:pt>
                <c:pt idx="6">
                  <c:v>0,038</c:v>
                </c:pt>
                <c:pt idx="7">
                  <c:v>0,044</c:v>
                </c:pt>
                <c:pt idx="8">
                  <c:v>0,05</c:v>
                </c:pt>
                <c:pt idx="9">
                  <c:v>0,056</c:v>
                </c:pt>
                <c:pt idx="10">
                  <c:v>0,063</c:v>
                </c:pt>
                <c:pt idx="11">
                  <c:v>0,069</c:v>
                </c:pt>
                <c:pt idx="12">
                  <c:v>0,075</c:v>
                </c:pt>
                <c:pt idx="13">
                  <c:v>0,081</c:v>
                </c:pt>
                <c:pt idx="14">
                  <c:v>0,088</c:v>
                </c:pt>
                <c:pt idx="15">
                  <c:v>0,094</c:v>
                </c:pt>
                <c:pt idx="16">
                  <c:v>0,1</c:v>
                </c:pt>
                <c:pt idx="17">
                  <c:v>0,106</c:v>
                </c:pt>
                <c:pt idx="18">
                  <c:v>0,113</c:v>
                </c:pt>
                <c:pt idx="19">
                  <c:v>0,119</c:v>
                </c:pt>
                <c:pt idx="20">
                  <c:v>0,125</c:v>
                </c:pt>
                <c:pt idx="21">
                  <c:v>0,131</c:v>
                </c:pt>
                <c:pt idx="22">
                  <c:v>0,138</c:v>
                </c:pt>
                <c:pt idx="23">
                  <c:v>0,144</c:v>
                </c:pt>
                <c:pt idx="24">
                  <c:v>0,15</c:v>
                </c:pt>
                <c:pt idx="25">
                  <c:v>0,156</c:v>
                </c:pt>
                <c:pt idx="26">
                  <c:v>0,163</c:v>
                </c:pt>
                <c:pt idx="27">
                  <c:v>0,169</c:v>
                </c:pt>
                <c:pt idx="28">
                  <c:v>0,175</c:v>
                </c:pt>
                <c:pt idx="29">
                  <c:v>0,181</c:v>
                </c:pt>
                <c:pt idx="30">
                  <c:v>0,188</c:v>
                </c:pt>
                <c:pt idx="31">
                  <c:v>0,194</c:v>
                </c:pt>
                <c:pt idx="32">
                  <c:v>0,2</c:v>
                </c:pt>
                <c:pt idx="58">
                  <c:v>PROMEDIO</c:v>
                </c:pt>
                <c:pt idx="80">
                  <c:v>MASA TABLA </c:v>
                </c:pt>
              </c:strCache>
            </c:strRef>
          </c:xVal>
          <c:yVal>
            <c:numRef>
              <c:f>Hoja1!$C$2:$C$86</c:f>
              <c:numCache>
                <c:formatCode>General</c:formatCode>
                <c:ptCount val="85"/>
                <c:pt idx="0">
                  <c:v>1.9400000000000001E-2</c:v>
                </c:pt>
                <c:pt idx="1">
                  <c:v>1.9400000000000001E-2</c:v>
                </c:pt>
                <c:pt idx="2">
                  <c:v>1.95E-2</c:v>
                </c:pt>
                <c:pt idx="3">
                  <c:v>1.95E-2</c:v>
                </c:pt>
                <c:pt idx="4">
                  <c:v>1.9800000000000002E-2</c:v>
                </c:pt>
                <c:pt idx="5">
                  <c:v>2.0400000000000001E-2</c:v>
                </c:pt>
                <c:pt idx="6">
                  <c:v>2.1399999999999999E-2</c:v>
                </c:pt>
                <c:pt idx="7">
                  <c:v>2.2700000000000001E-2</c:v>
                </c:pt>
                <c:pt idx="8">
                  <c:v>2.4299999999999999E-2</c:v>
                </c:pt>
                <c:pt idx="9">
                  <c:v>2.6200000000000001E-2</c:v>
                </c:pt>
                <c:pt idx="10">
                  <c:v>2.86E-2</c:v>
                </c:pt>
                <c:pt idx="11">
                  <c:v>3.1199999999999999E-2</c:v>
                </c:pt>
                <c:pt idx="12">
                  <c:v>3.4200000000000001E-2</c:v>
                </c:pt>
                <c:pt idx="13">
                  <c:v>3.7600000000000001E-2</c:v>
                </c:pt>
                <c:pt idx="14">
                  <c:v>4.1200000000000001E-2</c:v>
                </c:pt>
                <c:pt idx="15">
                  <c:v>4.5199999999999997E-2</c:v>
                </c:pt>
                <c:pt idx="16">
                  <c:v>4.9599999999999998E-2</c:v>
                </c:pt>
                <c:pt idx="17">
                  <c:v>5.4300000000000001E-2</c:v>
                </c:pt>
                <c:pt idx="18">
                  <c:v>5.9299999999999999E-2</c:v>
                </c:pt>
                <c:pt idx="19">
                  <c:v>6.4600000000000005E-2</c:v>
                </c:pt>
                <c:pt idx="20">
                  <c:v>7.0400000000000004E-2</c:v>
                </c:pt>
                <c:pt idx="21">
                  <c:v>7.6499999999999999E-2</c:v>
                </c:pt>
                <c:pt idx="22">
                  <c:v>8.3000000000000004E-2</c:v>
                </c:pt>
                <c:pt idx="23">
                  <c:v>8.9599999999999999E-2</c:v>
                </c:pt>
                <c:pt idx="24">
                  <c:v>9.6799999999999997E-2</c:v>
                </c:pt>
                <c:pt idx="25">
                  <c:v>0.1043</c:v>
                </c:pt>
                <c:pt idx="26">
                  <c:v>0.11210000000000001</c:v>
                </c:pt>
                <c:pt idx="27">
                  <c:v>0.1203</c:v>
                </c:pt>
                <c:pt idx="28">
                  <c:v>0.1288</c:v>
                </c:pt>
                <c:pt idx="29">
                  <c:v>0.13769999999999999</c:v>
                </c:pt>
                <c:pt idx="30">
                  <c:v>0.1469</c:v>
                </c:pt>
                <c:pt idx="31">
                  <c:v>0.1565</c:v>
                </c:pt>
                <c:pt idx="32">
                  <c:v>0.1663</c:v>
                </c:pt>
                <c:pt idx="58">
                  <c:v>0</c:v>
                </c:pt>
                <c:pt idx="59">
                  <c:v>0</c:v>
                </c:pt>
                <c:pt idx="60">
                  <c:v>6.0000000000000001E-3</c:v>
                </c:pt>
                <c:pt idx="61">
                  <c:v>1.2999999999999999E-2</c:v>
                </c:pt>
                <c:pt idx="62">
                  <c:v>1.9E-2</c:v>
                </c:pt>
                <c:pt idx="63">
                  <c:v>2.5000000000000001E-2</c:v>
                </c:pt>
                <c:pt idx="64">
                  <c:v>3.1E-2</c:v>
                </c:pt>
                <c:pt idx="65">
                  <c:v>3.7999999999999999E-2</c:v>
                </c:pt>
                <c:pt idx="66">
                  <c:v>4.3999999999999997E-2</c:v>
                </c:pt>
                <c:pt idx="67">
                  <c:v>0.05</c:v>
                </c:pt>
                <c:pt idx="68">
                  <c:v>5.6000000000000001E-2</c:v>
                </c:pt>
                <c:pt idx="69">
                  <c:v>6.3E-2</c:v>
                </c:pt>
                <c:pt idx="70">
                  <c:v>6.9000000000000006E-2</c:v>
                </c:pt>
                <c:pt idx="71">
                  <c:v>7.4999999999999997E-2</c:v>
                </c:pt>
                <c:pt idx="72">
                  <c:v>8.1000000000000003E-2</c:v>
                </c:pt>
                <c:pt idx="73">
                  <c:v>8.7999999999999995E-2</c:v>
                </c:pt>
                <c:pt idx="74">
                  <c:v>9.4E-2</c:v>
                </c:pt>
                <c:pt idx="75">
                  <c:v>0.1</c:v>
                </c:pt>
                <c:pt idx="76">
                  <c:v>0.106</c:v>
                </c:pt>
                <c:pt idx="77">
                  <c:v>0.113</c:v>
                </c:pt>
                <c:pt idx="78">
                  <c:v>0.11899999999999999</c:v>
                </c:pt>
                <c:pt idx="79">
                  <c:v>0.125</c:v>
                </c:pt>
                <c:pt idx="80">
                  <c:v>0.13100000000000001</c:v>
                </c:pt>
                <c:pt idx="81">
                  <c:v>0.13800000000000001</c:v>
                </c:pt>
                <c:pt idx="82">
                  <c:v>0.14399999999999999</c:v>
                </c:pt>
                <c:pt idx="83">
                  <c:v>0.15</c:v>
                </c:pt>
                <c:pt idx="84">
                  <c:v>0.156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43-49AC-856F-CC1BEFC74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420632"/>
        <c:axId val="23542259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Hoja1!$B$1</c15:sqref>
                        </c15:formulaRef>
                      </c:ext>
                    </c:extLst>
                    <c:strCache>
                      <c:ptCount val="1"/>
                      <c:pt idx="0">
                        <c:v>s_1 / m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strRef>
                    <c:extLst>
                      <c:ext uri="{02D57815-91ED-43cb-92C2-25804820EDAC}">
                        <c15:formulaRef>
                          <c15:sqref>Hoja1!$A$2:$A$86</c15:sqref>
                        </c15:formulaRef>
                      </c:ext>
                    </c:extLst>
                    <c:strCache>
                      <c:ptCount val="81"/>
                      <c:pt idx="0">
                        <c:v>0</c:v>
                      </c:pt>
                      <c:pt idx="1">
                        <c:v>0,006</c:v>
                      </c:pt>
                      <c:pt idx="2">
                        <c:v>0,013</c:v>
                      </c:pt>
                      <c:pt idx="3">
                        <c:v>0,019</c:v>
                      </c:pt>
                      <c:pt idx="4">
                        <c:v>0,025</c:v>
                      </c:pt>
                      <c:pt idx="5">
                        <c:v>0,031</c:v>
                      </c:pt>
                      <c:pt idx="6">
                        <c:v>0,038</c:v>
                      </c:pt>
                      <c:pt idx="7">
                        <c:v>0,044</c:v>
                      </c:pt>
                      <c:pt idx="8">
                        <c:v>0,05</c:v>
                      </c:pt>
                      <c:pt idx="9">
                        <c:v>0,056</c:v>
                      </c:pt>
                      <c:pt idx="10">
                        <c:v>0,063</c:v>
                      </c:pt>
                      <c:pt idx="11">
                        <c:v>0,069</c:v>
                      </c:pt>
                      <c:pt idx="12">
                        <c:v>0,075</c:v>
                      </c:pt>
                      <c:pt idx="13">
                        <c:v>0,081</c:v>
                      </c:pt>
                      <c:pt idx="14">
                        <c:v>0,088</c:v>
                      </c:pt>
                      <c:pt idx="15">
                        <c:v>0,094</c:v>
                      </c:pt>
                      <c:pt idx="16">
                        <c:v>0,1</c:v>
                      </c:pt>
                      <c:pt idx="17">
                        <c:v>0,106</c:v>
                      </c:pt>
                      <c:pt idx="18">
                        <c:v>0,113</c:v>
                      </c:pt>
                      <c:pt idx="19">
                        <c:v>0,119</c:v>
                      </c:pt>
                      <c:pt idx="20">
                        <c:v>0,125</c:v>
                      </c:pt>
                      <c:pt idx="21">
                        <c:v>0,131</c:v>
                      </c:pt>
                      <c:pt idx="22">
                        <c:v>0,138</c:v>
                      </c:pt>
                      <c:pt idx="23">
                        <c:v>0,144</c:v>
                      </c:pt>
                      <c:pt idx="24">
                        <c:v>0,15</c:v>
                      </c:pt>
                      <c:pt idx="25">
                        <c:v>0,156</c:v>
                      </c:pt>
                      <c:pt idx="26">
                        <c:v>0,163</c:v>
                      </c:pt>
                      <c:pt idx="27">
                        <c:v>0,169</c:v>
                      </c:pt>
                      <c:pt idx="28">
                        <c:v>0,175</c:v>
                      </c:pt>
                      <c:pt idx="29">
                        <c:v>0,181</c:v>
                      </c:pt>
                      <c:pt idx="30">
                        <c:v>0,188</c:v>
                      </c:pt>
                      <c:pt idx="31">
                        <c:v>0,194</c:v>
                      </c:pt>
                      <c:pt idx="32">
                        <c:v>0,2</c:v>
                      </c:pt>
                      <c:pt idx="58">
                        <c:v>PROMEDIO</c:v>
                      </c:pt>
                      <c:pt idx="80">
                        <c:v>MASA TABLA 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Hoja1!$B$2:$B$86</c15:sqref>
                        </c15:formulaRef>
                      </c:ext>
                    </c:extLst>
                    <c:numCache>
                      <c:formatCode>General</c:formatCode>
                      <c:ptCount val="85"/>
                      <c:pt idx="0">
                        <c:v>0.19789999999999999</c:v>
                      </c:pt>
                      <c:pt idx="1">
                        <c:v>0.19789999999999999</c:v>
                      </c:pt>
                      <c:pt idx="2">
                        <c:v>0.19789999999999999</c:v>
                      </c:pt>
                      <c:pt idx="3">
                        <c:v>0.19800000000000001</c:v>
                      </c:pt>
                      <c:pt idx="4">
                        <c:v>0.1983</c:v>
                      </c:pt>
                      <c:pt idx="5">
                        <c:v>0.19889999999999999</c:v>
                      </c:pt>
                      <c:pt idx="6">
                        <c:v>0.19989999999999999</c:v>
                      </c:pt>
                      <c:pt idx="7">
                        <c:v>0.20119999999999999</c:v>
                      </c:pt>
                      <c:pt idx="8">
                        <c:v>0.20280000000000001</c:v>
                      </c:pt>
                      <c:pt idx="9">
                        <c:v>0.2049</c:v>
                      </c:pt>
                      <c:pt idx="10">
                        <c:v>0.2072</c:v>
                      </c:pt>
                      <c:pt idx="11">
                        <c:v>0.20979999999999999</c:v>
                      </c:pt>
                      <c:pt idx="12">
                        <c:v>0.21290000000000001</c:v>
                      </c:pt>
                      <c:pt idx="13">
                        <c:v>0.2162</c:v>
                      </c:pt>
                      <c:pt idx="14">
                        <c:v>0.21990000000000001</c:v>
                      </c:pt>
                      <c:pt idx="15">
                        <c:v>0.22409999999999999</c:v>
                      </c:pt>
                      <c:pt idx="16">
                        <c:v>0.22850000000000001</c:v>
                      </c:pt>
                      <c:pt idx="17">
                        <c:v>0.23319999999999999</c:v>
                      </c:pt>
                      <c:pt idx="18">
                        <c:v>0.2382</c:v>
                      </c:pt>
                      <c:pt idx="19">
                        <c:v>0.2437</c:v>
                      </c:pt>
                      <c:pt idx="20">
                        <c:v>0.2495</c:v>
                      </c:pt>
                      <c:pt idx="21">
                        <c:v>0.25559999999999999</c:v>
                      </c:pt>
                      <c:pt idx="22">
                        <c:v>0.2621</c:v>
                      </c:pt>
                      <c:pt idx="23">
                        <c:v>0.26879999999999998</c:v>
                      </c:pt>
                      <c:pt idx="24">
                        <c:v>0.27600000000000002</c:v>
                      </c:pt>
                      <c:pt idx="25">
                        <c:v>0.28349999999999997</c:v>
                      </c:pt>
                      <c:pt idx="26">
                        <c:v>0.29139999999999999</c:v>
                      </c:pt>
                      <c:pt idx="27">
                        <c:v>0.29949999999999999</c:v>
                      </c:pt>
                      <c:pt idx="28">
                        <c:v>0.30809999999999998</c:v>
                      </c:pt>
                      <c:pt idx="29">
                        <c:v>0.31690000000000002</c:v>
                      </c:pt>
                      <c:pt idx="30">
                        <c:v>0.32600000000000001</c:v>
                      </c:pt>
                      <c:pt idx="31">
                        <c:v>0.33550000000000002</c:v>
                      </c:pt>
                      <c:pt idx="32">
                        <c:v>0.34520000000000001</c:v>
                      </c:pt>
                      <c:pt idx="80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9E43-49AC-856F-CC1BEFC743BA}"/>
                  </c:ext>
                </c:extLst>
              </c15:ser>
            </c15:filteredScatterSeries>
          </c:ext>
        </c:extLst>
      </c:scatterChart>
      <c:valAx>
        <c:axId val="23542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5422592"/>
        <c:crosses val="autoZero"/>
        <c:crossBetween val="midCat"/>
      </c:valAx>
      <c:valAx>
        <c:axId val="23542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542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Hoja1!$E$1</c:f>
              <c:strCache>
                <c:ptCount val="1"/>
                <c:pt idx="0">
                  <c:v>s_4 / 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Hoja1!$A$2:$A$35</c:f>
              <c:numCache>
                <c:formatCode>General</c:formatCode>
                <c:ptCount val="34"/>
                <c:pt idx="0">
                  <c:v>0</c:v>
                </c:pt>
                <c:pt idx="1">
                  <c:v>6.0000000000000001E-3</c:v>
                </c:pt>
                <c:pt idx="2">
                  <c:v>1.2999999999999999E-2</c:v>
                </c:pt>
                <c:pt idx="3">
                  <c:v>1.9E-2</c:v>
                </c:pt>
                <c:pt idx="4">
                  <c:v>2.5000000000000001E-2</c:v>
                </c:pt>
                <c:pt idx="5">
                  <c:v>3.1E-2</c:v>
                </c:pt>
                <c:pt idx="6">
                  <c:v>3.7999999999999999E-2</c:v>
                </c:pt>
                <c:pt idx="7">
                  <c:v>4.3999999999999997E-2</c:v>
                </c:pt>
                <c:pt idx="8">
                  <c:v>0.05</c:v>
                </c:pt>
                <c:pt idx="9">
                  <c:v>5.6000000000000001E-2</c:v>
                </c:pt>
                <c:pt idx="10">
                  <c:v>6.3E-2</c:v>
                </c:pt>
                <c:pt idx="11">
                  <c:v>6.9000000000000006E-2</c:v>
                </c:pt>
                <c:pt idx="12">
                  <c:v>7.4999999999999997E-2</c:v>
                </c:pt>
                <c:pt idx="13">
                  <c:v>8.1000000000000003E-2</c:v>
                </c:pt>
                <c:pt idx="14">
                  <c:v>8.7999999999999995E-2</c:v>
                </c:pt>
                <c:pt idx="15">
                  <c:v>9.4E-2</c:v>
                </c:pt>
                <c:pt idx="16">
                  <c:v>0.1</c:v>
                </c:pt>
                <c:pt idx="17">
                  <c:v>0.106</c:v>
                </c:pt>
                <c:pt idx="18">
                  <c:v>0.113</c:v>
                </c:pt>
                <c:pt idx="19">
                  <c:v>0.11899999999999999</c:v>
                </c:pt>
                <c:pt idx="20">
                  <c:v>0.125</c:v>
                </c:pt>
                <c:pt idx="21">
                  <c:v>0.13100000000000001</c:v>
                </c:pt>
                <c:pt idx="22">
                  <c:v>0.13800000000000001</c:v>
                </c:pt>
                <c:pt idx="23">
                  <c:v>0.14399999999999999</c:v>
                </c:pt>
                <c:pt idx="24">
                  <c:v>0.15</c:v>
                </c:pt>
                <c:pt idx="25">
                  <c:v>0.156</c:v>
                </c:pt>
                <c:pt idx="26">
                  <c:v>0.16300000000000001</c:v>
                </c:pt>
                <c:pt idx="27">
                  <c:v>0.16900000000000001</c:v>
                </c:pt>
                <c:pt idx="28">
                  <c:v>0.17499999999999999</c:v>
                </c:pt>
                <c:pt idx="29">
                  <c:v>0.18099999999999999</c:v>
                </c:pt>
                <c:pt idx="30">
                  <c:v>0.188</c:v>
                </c:pt>
                <c:pt idx="31">
                  <c:v>0.19400000000000001</c:v>
                </c:pt>
                <c:pt idx="32">
                  <c:v>0.2</c:v>
                </c:pt>
              </c:numCache>
            </c:numRef>
          </c:xVal>
          <c:yVal>
            <c:numRef>
              <c:f>Hoja1!$E$2:$E$35</c:f>
              <c:numCache>
                <c:formatCode>General</c:formatCode>
                <c:ptCount val="34"/>
                <c:pt idx="0">
                  <c:v>1.8700000000000001E-2</c:v>
                </c:pt>
                <c:pt idx="1">
                  <c:v>1.8700000000000001E-2</c:v>
                </c:pt>
                <c:pt idx="2">
                  <c:v>1.8700000000000001E-2</c:v>
                </c:pt>
                <c:pt idx="3">
                  <c:v>1.8700000000000001E-2</c:v>
                </c:pt>
                <c:pt idx="4">
                  <c:v>1.8700000000000001E-2</c:v>
                </c:pt>
                <c:pt idx="5">
                  <c:v>1.8800000000000001E-2</c:v>
                </c:pt>
                <c:pt idx="6">
                  <c:v>1.9199999999999998E-2</c:v>
                </c:pt>
                <c:pt idx="7">
                  <c:v>2.01E-2</c:v>
                </c:pt>
                <c:pt idx="8">
                  <c:v>2.1299999999999999E-2</c:v>
                </c:pt>
                <c:pt idx="9">
                  <c:v>2.2700000000000001E-2</c:v>
                </c:pt>
                <c:pt idx="10">
                  <c:v>2.46E-2</c:v>
                </c:pt>
                <c:pt idx="11">
                  <c:v>2.6800000000000001E-2</c:v>
                </c:pt>
                <c:pt idx="12">
                  <c:v>2.9100000000000001E-2</c:v>
                </c:pt>
                <c:pt idx="13">
                  <c:v>3.2099999999999997E-2</c:v>
                </c:pt>
                <c:pt idx="14">
                  <c:v>3.5200000000000002E-2</c:v>
                </c:pt>
                <c:pt idx="15">
                  <c:v>3.8699999999999998E-2</c:v>
                </c:pt>
                <c:pt idx="16">
                  <c:v>4.2599999999999999E-2</c:v>
                </c:pt>
                <c:pt idx="17">
                  <c:v>4.6800000000000001E-2</c:v>
                </c:pt>
                <c:pt idx="18">
                  <c:v>5.1400000000000001E-2</c:v>
                </c:pt>
                <c:pt idx="19">
                  <c:v>5.62E-2</c:v>
                </c:pt>
                <c:pt idx="20">
                  <c:v>6.1499999999999999E-2</c:v>
                </c:pt>
                <c:pt idx="21">
                  <c:v>6.7100000000000007E-2</c:v>
                </c:pt>
                <c:pt idx="22">
                  <c:v>7.3099999999999998E-2</c:v>
                </c:pt>
                <c:pt idx="23">
                  <c:v>7.9399999999999998E-2</c:v>
                </c:pt>
                <c:pt idx="24">
                  <c:v>8.5999999999999993E-2</c:v>
                </c:pt>
                <c:pt idx="25">
                  <c:v>9.2899999999999996E-2</c:v>
                </c:pt>
                <c:pt idx="26">
                  <c:v>0.1003</c:v>
                </c:pt>
                <c:pt idx="27">
                  <c:v>0.1081</c:v>
                </c:pt>
                <c:pt idx="28">
                  <c:v>0.11600000000000001</c:v>
                </c:pt>
                <c:pt idx="29">
                  <c:v>0.1245</c:v>
                </c:pt>
                <c:pt idx="30">
                  <c:v>0.1333</c:v>
                </c:pt>
                <c:pt idx="31">
                  <c:v>0.14230000000000001</c:v>
                </c:pt>
                <c:pt idx="32">
                  <c:v>0.15190000000000001</c:v>
                </c:pt>
                <c:pt idx="33">
                  <c:v>0.16170000000000001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1F-41E9-A4D4-EF6F8FDD0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992656"/>
        <c:axId val="405991872"/>
      </c:scatterChart>
      <c:valAx>
        <c:axId val="405992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5991872"/>
        <c:crosses val="autoZero"/>
        <c:crossBetween val="midCat"/>
      </c:valAx>
      <c:valAx>
        <c:axId val="40599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5992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Hoja1!$G$1</c:f>
              <c:strCache>
                <c:ptCount val="1"/>
                <c:pt idx="0">
                  <c:v>s_6 / 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"/>
                  <c:y val="-0.32914986413269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Hoja1!$A$2:$A$35</c:f>
              <c:numCache>
                <c:formatCode>General</c:formatCode>
                <c:ptCount val="34"/>
                <c:pt idx="0">
                  <c:v>0</c:v>
                </c:pt>
                <c:pt idx="1">
                  <c:v>6.0000000000000001E-3</c:v>
                </c:pt>
                <c:pt idx="2">
                  <c:v>1.2999999999999999E-2</c:v>
                </c:pt>
                <c:pt idx="3">
                  <c:v>1.9E-2</c:v>
                </c:pt>
                <c:pt idx="4">
                  <c:v>2.5000000000000001E-2</c:v>
                </c:pt>
                <c:pt idx="5">
                  <c:v>3.1E-2</c:v>
                </c:pt>
                <c:pt idx="6">
                  <c:v>3.7999999999999999E-2</c:v>
                </c:pt>
                <c:pt idx="7">
                  <c:v>4.3999999999999997E-2</c:v>
                </c:pt>
                <c:pt idx="8">
                  <c:v>0.05</c:v>
                </c:pt>
                <c:pt idx="9">
                  <c:v>5.6000000000000001E-2</c:v>
                </c:pt>
                <c:pt idx="10">
                  <c:v>6.3E-2</c:v>
                </c:pt>
                <c:pt idx="11">
                  <c:v>6.9000000000000006E-2</c:v>
                </c:pt>
                <c:pt idx="12">
                  <c:v>7.4999999999999997E-2</c:v>
                </c:pt>
                <c:pt idx="13">
                  <c:v>8.1000000000000003E-2</c:v>
                </c:pt>
                <c:pt idx="14">
                  <c:v>8.7999999999999995E-2</c:v>
                </c:pt>
                <c:pt idx="15">
                  <c:v>9.4E-2</c:v>
                </c:pt>
                <c:pt idx="16">
                  <c:v>0.1</c:v>
                </c:pt>
                <c:pt idx="17">
                  <c:v>0.106</c:v>
                </c:pt>
                <c:pt idx="18">
                  <c:v>0.113</c:v>
                </c:pt>
                <c:pt idx="19">
                  <c:v>0.11899999999999999</c:v>
                </c:pt>
                <c:pt idx="20">
                  <c:v>0.125</c:v>
                </c:pt>
                <c:pt idx="21">
                  <c:v>0.13100000000000001</c:v>
                </c:pt>
                <c:pt idx="22">
                  <c:v>0.13800000000000001</c:v>
                </c:pt>
                <c:pt idx="23">
                  <c:v>0.14399999999999999</c:v>
                </c:pt>
                <c:pt idx="24">
                  <c:v>0.15</c:v>
                </c:pt>
                <c:pt idx="25">
                  <c:v>0.156</c:v>
                </c:pt>
                <c:pt idx="26">
                  <c:v>0.16300000000000001</c:v>
                </c:pt>
                <c:pt idx="27">
                  <c:v>0.16900000000000001</c:v>
                </c:pt>
                <c:pt idx="28">
                  <c:v>0.17499999999999999</c:v>
                </c:pt>
                <c:pt idx="29">
                  <c:v>0.18099999999999999</c:v>
                </c:pt>
                <c:pt idx="30">
                  <c:v>0.188</c:v>
                </c:pt>
                <c:pt idx="31">
                  <c:v>0.19400000000000001</c:v>
                </c:pt>
                <c:pt idx="32">
                  <c:v>0.2</c:v>
                </c:pt>
              </c:numCache>
            </c:numRef>
          </c:xVal>
          <c:yVal>
            <c:numRef>
              <c:f>Hoja1!$G$2:$G$35</c:f>
              <c:numCache>
                <c:formatCode>General</c:formatCode>
                <c:ptCount val="34"/>
                <c:pt idx="0">
                  <c:v>1.8700000000000001E-2</c:v>
                </c:pt>
                <c:pt idx="1">
                  <c:v>1.8700000000000001E-2</c:v>
                </c:pt>
                <c:pt idx="2">
                  <c:v>1.8700000000000001E-2</c:v>
                </c:pt>
                <c:pt idx="3">
                  <c:v>1.8700000000000001E-2</c:v>
                </c:pt>
                <c:pt idx="4">
                  <c:v>1.9E-2</c:v>
                </c:pt>
                <c:pt idx="5">
                  <c:v>1.95E-2</c:v>
                </c:pt>
                <c:pt idx="6">
                  <c:v>2.0299999999999999E-2</c:v>
                </c:pt>
                <c:pt idx="7">
                  <c:v>2.1600000000000001E-2</c:v>
                </c:pt>
                <c:pt idx="8">
                  <c:v>2.3199999999999998E-2</c:v>
                </c:pt>
                <c:pt idx="9">
                  <c:v>2.5100000000000001E-2</c:v>
                </c:pt>
                <c:pt idx="10">
                  <c:v>2.7300000000000001E-2</c:v>
                </c:pt>
                <c:pt idx="11">
                  <c:v>2.9899999999999999E-2</c:v>
                </c:pt>
                <c:pt idx="12">
                  <c:v>3.3000000000000002E-2</c:v>
                </c:pt>
                <c:pt idx="13">
                  <c:v>3.6200000000000003E-2</c:v>
                </c:pt>
                <c:pt idx="14">
                  <c:v>3.9800000000000002E-2</c:v>
                </c:pt>
                <c:pt idx="15">
                  <c:v>4.3799999999999999E-2</c:v>
                </c:pt>
                <c:pt idx="16">
                  <c:v>4.8099999999999997E-2</c:v>
                </c:pt>
                <c:pt idx="17">
                  <c:v>5.28E-2</c:v>
                </c:pt>
                <c:pt idx="18">
                  <c:v>5.7799999999999997E-2</c:v>
                </c:pt>
                <c:pt idx="19">
                  <c:v>6.3200000000000006E-2</c:v>
                </c:pt>
                <c:pt idx="20">
                  <c:v>6.88E-2</c:v>
                </c:pt>
                <c:pt idx="21">
                  <c:v>7.4999999999999997E-2</c:v>
                </c:pt>
                <c:pt idx="22">
                  <c:v>8.14E-2</c:v>
                </c:pt>
                <c:pt idx="23">
                  <c:v>8.8200000000000001E-2</c:v>
                </c:pt>
                <c:pt idx="24">
                  <c:v>9.5200000000000007E-2</c:v>
                </c:pt>
                <c:pt idx="25">
                  <c:v>0.1027</c:v>
                </c:pt>
                <c:pt idx="26">
                  <c:v>0.1105</c:v>
                </c:pt>
                <c:pt idx="27">
                  <c:v>0.1186</c:v>
                </c:pt>
                <c:pt idx="28">
                  <c:v>0.12709999999999999</c:v>
                </c:pt>
                <c:pt idx="29">
                  <c:v>0.1361</c:v>
                </c:pt>
                <c:pt idx="30">
                  <c:v>0.14530000000000001</c:v>
                </c:pt>
                <c:pt idx="31">
                  <c:v>0.15479999999999999</c:v>
                </c:pt>
                <c:pt idx="32">
                  <c:v>0.1648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04-4D9F-8C62-231D25EF9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933088"/>
        <c:axId val="408833624"/>
      </c:scatterChart>
      <c:valAx>
        <c:axId val="233933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8833624"/>
        <c:crosses val="autoZero"/>
        <c:crossBetween val="midCat"/>
      </c:valAx>
      <c:valAx>
        <c:axId val="408833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3933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Hoja1!$D$60</c:f>
              <c:strCache>
                <c:ptCount val="1"/>
                <c:pt idx="0">
                  <c:v>sₛ</c:v>
                </c:pt>
              </c:strCache>
            </c:strRef>
          </c:tx>
          <c:spPr>
            <a:ln w="19050" cap="rnd">
              <a:solidFill>
                <a:schemeClr val="accent6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tint val="77000"/>
                </a:schemeClr>
              </a:solidFill>
              <a:ln w="9525">
                <a:solidFill>
                  <a:schemeClr val="accent6">
                    <a:tint val="77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tint val="77000"/>
                  </a:schemeClr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noFill/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6024410051453465"/>
                  <c:y val="0.13046779707955178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sₛ = 4.8334t</a:t>
                    </a:r>
                    <a:r>
                      <a:rPr lang="en-US" baseline="30000"/>
                      <a:t>2</a:t>
                    </a:r>
                    <a:r>
                      <a:rPr lang="en-US" baseline="0"/>
                      <a:t> - 0.1468t + 0.2014</a:t>
                    </a:r>
                    <a:br>
                      <a:rPr lang="en-US" baseline="0"/>
                    </a:br>
                    <a:r>
                      <a:rPr lang="en-US" baseline="0"/>
                      <a:t>R² = 1</a:t>
                    </a:r>
                    <a:endParaRPr lang="en-US"/>
                  </a:p>
                </c:rich>
              </c:tx>
              <c:numFmt formatCode="General" sourceLinked="0"/>
              <c:spPr>
                <a:pattFill prst="pct50">
                  <a:fgClr>
                    <a:schemeClr val="accent6"/>
                  </a:fgClr>
                  <a:bgClr>
                    <a:schemeClr val="bg1"/>
                  </a:bgClr>
                </a:patt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Hoja1!$A$114:$A$147</c:f>
              <c:numCache>
                <c:formatCode>General</c:formatCode>
                <c:ptCount val="34"/>
                <c:pt idx="0">
                  <c:v>0</c:v>
                </c:pt>
                <c:pt idx="1">
                  <c:v>6.0000000000000001E-3</c:v>
                </c:pt>
                <c:pt idx="2">
                  <c:v>1.2999999999999999E-2</c:v>
                </c:pt>
                <c:pt idx="3">
                  <c:v>1.9E-2</c:v>
                </c:pt>
                <c:pt idx="4">
                  <c:v>2.5000000000000001E-2</c:v>
                </c:pt>
                <c:pt idx="5">
                  <c:v>3.1E-2</c:v>
                </c:pt>
                <c:pt idx="6">
                  <c:v>3.7999999999999999E-2</c:v>
                </c:pt>
                <c:pt idx="7">
                  <c:v>4.3999999999999997E-2</c:v>
                </c:pt>
                <c:pt idx="8">
                  <c:v>0.05</c:v>
                </c:pt>
                <c:pt idx="9">
                  <c:v>5.6000000000000001E-2</c:v>
                </c:pt>
                <c:pt idx="10">
                  <c:v>6.3E-2</c:v>
                </c:pt>
                <c:pt idx="11">
                  <c:v>6.9000000000000006E-2</c:v>
                </c:pt>
                <c:pt idx="12">
                  <c:v>7.4999999999999997E-2</c:v>
                </c:pt>
                <c:pt idx="13">
                  <c:v>8.1000000000000003E-2</c:v>
                </c:pt>
                <c:pt idx="14">
                  <c:v>8.7999999999999995E-2</c:v>
                </c:pt>
                <c:pt idx="15">
                  <c:v>9.4E-2</c:v>
                </c:pt>
                <c:pt idx="16">
                  <c:v>0.1</c:v>
                </c:pt>
                <c:pt idx="17">
                  <c:v>0.106</c:v>
                </c:pt>
                <c:pt idx="18">
                  <c:v>0.113</c:v>
                </c:pt>
                <c:pt idx="19">
                  <c:v>0.11899999999999999</c:v>
                </c:pt>
                <c:pt idx="20">
                  <c:v>0.125</c:v>
                </c:pt>
                <c:pt idx="21">
                  <c:v>0.13100000000000001</c:v>
                </c:pt>
                <c:pt idx="22">
                  <c:v>0.13800000000000001</c:v>
                </c:pt>
                <c:pt idx="23">
                  <c:v>0.14399999999999999</c:v>
                </c:pt>
                <c:pt idx="24">
                  <c:v>0.15</c:v>
                </c:pt>
                <c:pt idx="25">
                  <c:v>0.156</c:v>
                </c:pt>
                <c:pt idx="26">
                  <c:v>0.16300000000000001</c:v>
                </c:pt>
                <c:pt idx="27">
                  <c:v>0.16900000000000001</c:v>
                </c:pt>
                <c:pt idx="28">
                  <c:v>0.17499999999999999</c:v>
                </c:pt>
                <c:pt idx="29">
                  <c:v>0.18099999999999999</c:v>
                </c:pt>
                <c:pt idx="30">
                  <c:v>0.188</c:v>
                </c:pt>
                <c:pt idx="31">
                  <c:v>0.19400000000000001</c:v>
                </c:pt>
                <c:pt idx="32">
                  <c:v>0.2</c:v>
                </c:pt>
              </c:numCache>
            </c:numRef>
          </c:xVal>
          <c:yVal>
            <c:numRef>
              <c:f>Hoja1!$B$114:$B$146</c:f>
              <c:numCache>
                <c:formatCode>General</c:formatCode>
                <c:ptCount val="33"/>
                <c:pt idx="0">
                  <c:v>0.2006</c:v>
                </c:pt>
                <c:pt idx="1">
                  <c:v>0.2006</c:v>
                </c:pt>
                <c:pt idx="2">
                  <c:v>0.2006</c:v>
                </c:pt>
                <c:pt idx="3">
                  <c:v>0.2006</c:v>
                </c:pt>
                <c:pt idx="4">
                  <c:v>0.20100000000000001</c:v>
                </c:pt>
                <c:pt idx="5">
                  <c:v>0.2016</c:v>
                </c:pt>
                <c:pt idx="6">
                  <c:v>0.2029</c:v>
                </c:pt>
                <c:pt idx="7">
                  <c:v>0.20430000000000001</c:v>
                </c:pt>
                <c:pt idx="8">
                  <c:v>0.20619999999999999</c:v>
                </c:pt>
                <c:pt idx="9">
                  <c:v>0.2084</c:v>
                </c:pt>
                <c:pt idx="10">
                  <c:v>0.21110000000000001</c:v>
                </c:pt>
                <c:pt idx="11">
                  <c:v>0.21410000000000001</c:v>
                </c:pt>
                <c:pt idx="12">
                  <c:v>0.2175</c:v>
                </c:pt>
                <c:pt idx="13">
                  <c:v>0.2213</c:v>
                </c:pt>
                <c:pt idx="14">
                  <c:v>0.22550000000000001</c:v>
                </c:pt>
                <c:pt idx="15">
                  <c:v>0.2301</c:v>
                </c:pt>
                <c:pt idx="16">
                  <c:v>0.23499999999999999</c:v>
                </c:pt>
                <c:pt idx="17">
                  <c:v>0.2404</c:v>
                </c:pt>
                <c:pt idx="18">
                  <c:v>0.246</c:v>
                </c:pt>
                <c:pt idx="19">
                  <c:v>0.25219999999999998</c:v>
                </c:pt>
                <c:pt idx="20">
                  <c:v>0.2586</c:v>
                </c:pt>
                <c:pt idx="21">
                  <c:v>0.26550000000000001</c:v>
                </c:pt>
                <c:pt idx="22">
                  <c:v>0.2727</c:v>
                </c:pt>
                <c:pt idx="23">
                  <c:v>0.28029999999999999</c:v>
                </c:pt>
                <c:pt idx="24">
                  <c:v>0.2883</c:v>
                </c:pt>
                <c:pt idx="25">
                  <c:v>0.29670000000000002</c:v>
                </c:pt>
                <c:pt idx="26">
                  <c:v>0.3054</c:v>
                </c:pt>
                <c:pt idx="27">
                  <c:v>0.31440000000000001</c:v>
                </c:pt>
                <c:pt idx="28">
                  <c:v>0.32390000000000002</c:v>
                </c:pt>
                <c:pt idx="29">
                  <c:v>0.33379999999999999</c:v>
                </c:pt>
                <c:pt idx="30">
                  <c:v>0.34399999999999997</c:v>
                </c:pt>
                <c:pt idx="31">
                  <c:v>0.35460000000000003</c:v>
                </c:pt>
                <c:pt idx="32">
                  <c:v>0.36549999999999999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9C-4551-AEE3-FF1423EFED81}"/>
            </c:ext>
          </c:extLst>
        </c:ser>
        <c:ser>
          <c:idx val="1"/>
          <c:order val="1"/>
          <c:tx>
            <c:strRef>
              <c:f>Hoja1!$E$60</c:f>
              <c:strCache>
                <c:ptCount val="1"/>
                <c:pt idx="0">
                  <c:v>sᵢ</c:v>
                </c:pt>
              </c:strCache>
            </c:strRef>
          </c:tx>
          <c:spPr>
            <a:ln w="19050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shade val="76000"/>
                </a:schemeClr>
              </a:solidFill>
              <a:ln w="9525">
                <a:solidFill>
                  <a:schemeClr val="accent6">
                    <a:shade val="76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shade val="76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3710133481428563"/>
                  <c:y val="0.1987756579308971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/>
                      <a:t>sᵢ = 4.3537t</a:t>
                    </a:r>
                    <a:r>
                      <a:rPr lang="en-US" sz="1200" baseline="30000"/>
                      <a:t>2</a:t>
                    </a:r>
                    <a:r>
                      <a:rPr lang="en-US" sz="1200" baseline="0"/>
                      <a:t> - 0.1566t + 0.0206</a:t>
                    </a:r>
                    <a:br>
                      <a:rPr lang="en-US" sz="1200" baseline="0"/>
                    </a:br>
                    <a:r>
                      <a:rPr lang="en-US" sz="1200" baseline="0"/>
                      <a:t>R² = 0.999</a:t>
                    </a:r>
                    <a:endParaRPr lang="en-US" sz="1200"/>
                  </a:p>
                </c:rich>
              </c:tx>
              <c:numFmt formatCode="General" sourceLinked="0"/>
              <c:spPr>
                <a:pattFill prst="pct50">
                  <a:fgClr>
                    <a:schemeClr val="accent6"/>
                  </a:fgClr>
                  <a:bgClr>
                    <a:schemeClr val="bg1"/>
                  </a:bgClr>
                </a:patt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Hoja1!$A$114:$A$146</c:f>
              <c:numCache>
                <c:formatCode>General</c:formatCode>
                <c:ptCount val="33"/>
                <c:pt idx="0">
                  <c:v>0</c:v>
                </c:pt>
                <c:pt idx="1">
                  <c:v>6.0000000000000001E-3</c:v>
                </c:pt>
                <c:pt idx="2">
                  <c:v>1.2999999999999999E-2</c:v>
                </c:pt>
                <c:pt idx="3">
                  <c:v>1.9E-2</c:v>
                </c:pt>
                <c:pt idx="4">
                  <c:v>2.5000000000000001E-2</c:v>
                </c:pt>
                <c:pt idx="5">
                  <c:v>3.1E-2</c:v>
                </c:pt>
                <c:pt idx="6">
                  <c:v>3.7999999999999999E-2</c:v>
                </c:pt>
                <c:pt idx="7">
                  <c:v>4.3999999999999997E-2</c:v>
                </c:pt>
                <c:pt idx="8">
                  <c:v>0.05</c:v>
                </c:pt>
                <c:pt idx="9">
                  <c:v>5.6000000000000001E-2</c:v>
                </c:pt>
                <c:pt idx="10">
                  <c:v>6.3E-2</c:v>
                </c:pt>
                <c:pt idx="11">
                  <c:v>6.9000000000000006E-2</c:v>
                </c:pt>
                <c:pt idx="12">
                  <c:v>7.4999999999999997E-2</c:v>
                </c:pt>
                <c:pt idx="13">
                  <c:v>8.1000000000000003E-2</c:v>
                </c:pt>
                <c:pt idx="14">
                  <c:v>8.7999999999999995E-2</c:v>
                </c:pt>
                <c:pt idx="15">
                  <c:v>9.4E-2</c:v>
                </c:pt>
                <c:pt idx="16">
                  <c:v>0.1</c:v>
                </c:pt>
                <c:pt idx="17">
                  <c:v>0.106</c:v>
                </c:pt>
                <c:pt idx="18">
                  <c:v>0.113</c:v>
                </c:pt>
                <c:pt idx="19">
                  <c:v>0.11899999999999999</c:v>
                </c:pt>
                <c:pt idx="20">
                  <c:v>0.125</c:v>
                </c:pt>
                <c:pt idx="21">
                  <c:v>0.13100000000000001</c:v>
                </c:pt>
                <c:pt idx="22">
                  <c:v>0.13800000000000001</c:v>
                </c:pt>
                <c:pt idx="23">
                  <c:v>0.14399999999999999</c:v>
                </c:pt>
                <c:pt idx="24">
                  <c:v>0.15</c:v>
                </c:pt>
                <c:pt idx="25">
                  <c:v>0.156</c:v>
                </c:pt>
                <c:pt idx="26">
                  <c:v>0.16300000000000001</c:v>
                </c:pt>
                <c:pt idx="27">
                  <c:v>0.16900000000000001</c:v>
                </c:pt>
                <c:pt idx="28">
                  <c:v>0.17499999999999999</c:v>
                </c:pt>
                <c:pt idx="29">
                  <c:v>0.18099999999999999</c:v>
                </c:pt>
                <c:pt idx="30">
                  <c:v>0.188</c:v>
                </c:pt>
                <c:pt idx="31">
                  <c:v>0.19400000000000001</c:v>
                </c:pt>
                <c:pt idx="32">
                  <c:v>0.2</c:v>
                </c:pt>
              </c:numCache>
            </c:numRef>
          </c:xVal>
          <c:yVal>
            <c:numRef>
              <c:f>Hoja1!$C$114:$C$146</c:f>
              <c:numCache>
                <c:formatCode>General</c:formatCode>
                <c:ptCount val="33"/>
                <c:pt idx="0">
                  <c:v>2.0000000000000001E-4</c:v>
                </c:pt>
                <c:pt idx="1">
                  <c:v>2.9999999999999997E-4</c:v>
                </c:pt>
                <c:pt idx="2">
                  <c:v>2.9999999999999997E-4</c:v>
                </c:pt>
                <c:pt idx="3">
                  <c:v>4.0000000000000002E-4</c:v>
                </c:pt>
                <c:pt idx="4">
                  <c:v>5.9999999999999995E-4</c:v>
                </c:pt>
                <c:pt idx="5">
                  <c:v>1.2999999999999999E-3</c:v>
                </c:pt>
                <c:pt idx="6">
                  <c:v>2.5000000000000001E-3</c:v>
                </c:pt>
                <c:pt idx="7">
                  <c:v>3.8999999999999998E-3</c:v>
                </c:pt>
                <c:pt idx="8">
                  <c:v>5.7000000000000002E-3</c:v>
                </c:pt>
                <c:pt idx="9">
                  <c:v>7.7999999999999996E-3</c:v>
                </c:pt>
                <c:pt idx="10">
                  <c:v>1.0500000000000001E-2</c:v>
                </c:pt>
                <c:pt idx="11">
                  <c:v>1.34E-2</c:v>
                </c:pt>
                <c:pt idx="12">
                  <c:v>1.6799999999999999E-2</c:v>
                </c:pt>
                <c:pt idx="13">
                  <c:v>2.0500000000000001E-2</c:v>
                </c:pt>
                <c:pt idx="14">
                  <c:v>2.46E-2</c:v>
                </c:pt>
                <c:pt idx="15">
                  <c:v>2.8899999999999999E-2</c:v>
                </c:pt>
                <c:pt idx="16">
                  <c:v>3.39E-2</c:v>
                </c:pt>
                <c:pt idx="17">
                  <c:v>3.9E-2</c:v>
                </c:pt>
                <c:pt idx="18">
                  <c:v>4.4999999999999998E-2</c:v>
                </c:pt>
                <c:pt idx="19">
                  <c:v>5.2900000000000003E-2</c:v>
                </c:pt>
                <c:pt idx="20">
                  <c:v>5.7099999999999998E-2</c:v>
                </c:pt>
                <c:pt idx="21">
                  <c:v>6.3600000000000004E-2</c:v>
                </c:pt>
                <c:pt idx="22">
                  <c:v>7.2300000000000003E-2</c:v>
                </c:pt>
                <c:pt idx="23">
                  <c:v>7.8299999999999995E-2</c:v>
                </c:pt>
                <c:pt idx="24">
                  <c:v>8.6199999999999999E-2</c:v>
                </c:pt>
                <c:pt idx="25">
                  <c:v>9.4399999999999998E-2</c:v>
                </c:pt>
                <c:pt idx="26">
                  <c:v>0.1031</c:v>
                </c:pt>
                <c:pt idx="27">
                  <c:v>0.1119</c:v>
                </c:pt>
                <c:pt idx="28">
                  <c:v>0.12139999999999999</c:v>
                </c:pt>
                <c:pt idx="29">
                  <c:v>0.13109999999999999</c:v>
                </c:pt>
                <c:pt idx="30">
                  <c:v>0.14130000000000001</c:v>
                </c:pt>
                <c:pt idx="31">
                  <c:v>0.15179999999999999</c:v>
                </c:pt>
                <c:pt idx="32">
                  <c:v>0.16270000000000001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9C-4551-AEE3-FF1423EFE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0550159"/>
        <c:axId val="1670551599"/>
      </c:scatterChart>
      <c:valAx>
        <c:axId val="1670550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Tiempo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551599"/>
        <c:crosses val="autoZero"/>
        <c:crossBetween val="midCat"/>
      </c:valAx>
      <c:valAx>
        <c:axId val="167055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Posición</a:t>
                </a:r>
                <a:r>
                  <a:rPr lang="en-US" baseline="0"/>
                  <a:t>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5501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44996378999701808"/>
          <c:y val="0.91568148504523283"/>
          <c:w val="0.15489006375480796"/>
          <c:h val="6.07633437990580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vₛ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trendline>
            <c:spPr>
              <a:ln w="2540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442641510449545"/>
                  <c:y val="6.1474802478497466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0" i="0" u="none" strike="noStrike" kern="1200" baseline="0">
                        <a:solidFill>
                          <a:srgbClr val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vₛ = 8.374t - 0.1127</a:t>
                    </a:r>
                    <a:br>
                      <a:rPr lang="en-US" baseline="0"/>
                    </a:br>
                    <a:r>
                      <a:rPr lang="en-US" baseline="0"/>
                      <a:t>R² = 0.9967</a:t>
                    </a:r>
                    <a:endParaRPr lang="en-US"/>
                  </a:p>
                </c:rich>
              </c:tx>
              <c:numFmt formatCode="General" sourceLinked="0"/>
              <c:spPr>
                <a:solidFill>
                  <a:srgbClr val="FFFFFF"/>
                </a:solidFill>
                <a:ln>
                  <a:solidFill>
                    <a:srgbClr val="000000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Hoja1!$G$61:$G$93</c:f>
              <c:numCache>
                <c:formatCode>General</c:formatCode>
                <c:ptCount val="33"/>
                <c:pt idx="0">
                  <c:v>0</c:v>
                </c:pt>
                <c:pt idx="1">
                  <c:v>6.0000000000000001E-3</c:v>
                </c:pt>
                <c:pt idx="2">
                  <c:v>1.2999999999999999E-2</c:v>
                </c:pt>
                <c:pt idx="3">
                  <c:v>1.9E-2</c:v>
                </c:pt>
                <c:pt idx="4">
                  <c:v>2.5000000000000001E-2</c:v>
                </c:pt>
                <c:pt idx="5">
                  <c:v>3.1E-2</c:v>
                </c:pt>
                <c:pt idx="6">
                  <c:v>3.7999999999999999E-2</c:v>
                </c:pt>
                <c:pt idx="7">
                  <c:v>4.3999999999999997E-2</c:v>
                </c:pt>
                <c:pt idx="8">
                  <c:v>0.05</c:v>
                </c:pt>
                <c:pt idx="9">
                  <c:v>5.6000000000000001E-2</c:v>
                </c:pt>
                <c:pt idx="10">
                  <c:v>6.3E-2</c:v>
                </c:pt>
                <c:pt idx="11">
                  <c:v>6.9000000000000006E-2</c:v>
                </c:pt>
                <c:pt idx="12">
                  <c:v>7.4999999999999997E-2</c:v>
                </c:pt>
                <c:pt idx="13">
                  <c:v>8.1000000000000003E-2</c:v>
                </c:pt>
                <c:pt idx="14">
                  <c:v>8.7999999999999995E-2</c:v>
                </c:pt>
                <c:pt idx="15">
                  <c:v>9.4E-2</c:v>
                </c:pt>
                <c:pt idx="16">
                  <c:v>0.1</c:v>
                </c:pt>
                <c:pt idx="17">
                  <c:v>0.106</c:v>
                </c:pt>
                <c:pt idx="18">
                  <c:v>0.113</c:v>
                </c:pt>
                <c:pt idx="19">
                  <c:v>0.11899999999999999</c:v>
                </c:pt>
                <c:pt idx="20">
                  <c:v>0.125</c:v>
                </c:pt>
                <c:pt idx="21">
                  <c:v>0.13100000000000001</c:v>
                </c:pt>
                <c:pt idx="22">
                  <c:v>0.13800000000000001</c:v>
                </c:pt>
                <c:pt idx="23">
                  <c:v>0.14399999999999999</c:v>
                </c:pt>
                <c:pt idx="24">
                  <c:v>0.15</c:v>
                </c:pt>
                <c:pt idx="25">
                  <c:v>0.156</c:v>
                </c:pt>
                <c:pt idx="26">
                  <c:v>0.16300000000000001</c:v>
                </c:pt>
                <c:pt idx="27">
                  <c:v>0.16900000000000001</c:v>
                </c:pt>
                <c:pt idx="28">
                  <c:v>0.17499999999999999</c:v>
                </c:pt>
                <c:pt idx="29">
                  <c:v>0.18099999999999999</c:v>
                </c:pt>
                <c:pt idx="30">
                  <c:v>0.188</c:v>
                </c:pt>
                <c:pt idx="31">
                  <c:v>0.19400000000000001</c:v>
                </c:pt>
                <c:pt idx="32">
                  <c:v>0.2</c:v>
                </c:pt>
              </c:numCache>
            </c:numRef>
          </c:xVal>
          <c:yVal>
            <c:numRef>
              <c:f>Hoja1!$H$61:$H$93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1.15E-2</c:v>
                </c:pt>
                <c:pt idx="3">
                  <c:v>3.3375000000000002E-2</c:v>
                </c:pt>
                <c:pt idx="4">
                  <c:v>6.9125000000000006E-2</c:v>
                </c:pt>
                <c:pt idx="5">
                  <c:v>0.11700000000000001</c:v>
                </c:pt>
                <c:pt idx="6">
                  <c:v>0.170125</c:v>
                </c:pt>
                <c:pt idx="7">
                  <c:v>0.22600000000000003</c:v>
                </c:pt>
                <c:pt idx="8">
                  <c:v>0.27999999999999997</c:v>
                </c:pt>
                <c:pt idx="9">
                  <c:v>0.33462500000000001</c:v>
                </c:pt>
                <c:pt idx="10">
                  <c:v>0.39</c:v>
                </c:pt>
                <c:pt idx="11">
                  <c:v>0.44412499999999999</c:v>
                </c:pt>
                <c:pt idx="12">
                  <c:v>0.49874999999999997</c:v>
                </c:pt>
                <c:pt idx="13">
                  <c:v>0.5558749999999999</c:v>
                </c:pt>
                <c:pt idx="14">
                  <c:v>0.60962500000000008</c:v>
                </c:pt>
                <c:pt idx="15">
                  <c:v>0.66499999999999992</c:v>
                </c:pt>
                <c:pt idx="16">
                  <c:v>0.72000000000000008</c:v>
                </c:pt>
                <c:pt idx="17">
                  <c:v>0.77412500000000006</c:v>
                </c:pt>
                <c:pt idx="18">
                  <c:v>0.83</c:v>
                </c:pt>
                <c:pt idx="19">
                  <c:v>0.88312499999999994</c:v>
                </c:pt>
                <c:pt idx="20">
                  <c:v>0.93900000000000006</c:v>
                </c:pt>
                <c:pt idx="21">
                  <c:v>0.9923749999999999</c:v>
                </c:pt>
                <c:pt idx="22">
                  <c:v>1.046875</c:v>
                </c:pt>
                <c:pt idx="23">
                  <c:v>1.1023749999999999</c:v>
                </c:pt>
                <c:pt idx="24">
                  <c:v>1.1572500000000001</c:v>
                </c:pt>
                <c:pt idx="25">
                  <c:v>1.210375</c:v>
                </c:pt>
                <c:pt idx="26">
                  <c:v>1.2662499999999999</c:v>
                </c:pt>
                <c:pt idx="27">
                  <c:v>1.3191249999999999</c:v>
                </c:pt>
                <c:pt idx="28">
                  <c:v>1.3709999999999998</c:v>
                </c:pt>
                <c:pt idx="29">
                  <c:v>1.425</c:v>
                </c:pt>
                <c:pt idx="30">
                  <c:v>1.4757500000000001</c:v>
                </c:pt>
                <c:pt idx="31">
                  <c:v>1.5105</c:v>
                </c:pt>
                <c:pt idx="32">
                  <c:v>1.522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53-4800-84B3-3EA88A0B5A93}"/>
            </c:ext>
          </c:extLst>
        </c:ser>
        <c:ser>
          <c:idx val="1"/>
          <c:order val="1"/>
          <c:tx>
            <c:v>vᵢ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trendline>
            <c:spPr>
              <a:ln w="2540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0343086082215422E-2"/>
                  <c:y val="0.30202166520491891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0" i="0" u="none" strike="noStrike" kern="1200" baseline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vᵢ = 8.4443t - 0.1218</a:t>
                    </a:r>
                    <a:br>
                      <a:rPr lang="en-US" baseline="0"/>
                    </a:br>
                    <a:r>
                      <a:rPr lang="en-US" baseline="0"/>
                      <a:t>R² = 0.996</a:t>
                    </a:r>
                    <a:endParaRPr lang="en-US"/>
                  </a:p>
                </c:rich>
              </c:tx>
              <c:numFmt formatCode="General" sourceLinked="0"/>
              <c:spPr>
                <a:solidFill>
                  <a:srgbClr val="FFFFFF"/>
                </a:solidFill>
                <a:ln>
                  <a:solidFill>
                    <a:srgbClr val="FF0000"/>
                  </a:solidFill>
                  <a:prstDash val="solid"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Hoja1!$G$61:$G$93</c:f>
              <c:numCache>
                <c:formatCode>General</c:formatCode>
                <c:ptCount val="33"/>
                <c:pt idx="0">
                  <c:v>0</c:v>
                </c:pt>
                <c:pt idx="1">
                  <c:v>6.0000000000000001E-3</c:v>
                </c:pt>
                <c:pt idx="2">
                  <c:v>1.2999999999999999E-2</c:v>
                </c:pt>
                <c:pt idx="3">
                  <c:v>1.9E-2</c:v>
                </c:pt>
                <c:pt idx="4">
                  <c:v>2.5000000000000001E-2</c:v>
                </c:pt>
                <c:pt idx="5">
                  <c:v>3.1E-2</c:v>
                </c:pt>
                <c:pt idx="6">
                  <c:v>3.7999999999999999E-2</c:v>
                </c:pt>
                <c:pt idx="7">
                  <c:v>4.3999999999999997E-2</c:v>
                </c:pt>
                <c:pt idx="8">
                  <c:v>0.05</c:v>
                </c:pt>
                <c:pt idx="9">
                  <c:v>5.6000000000000001E-2</c:v>
                </c:pt>
                <c:pt idx="10">
                  <c:v>6.3E-2</c:v>
                </c:pt>
                <c:pt idx="11">
                  <c:v>6.9000000000000006E-2</c:v>
                </c:pt>
                <c:pt idx="12">
                  <c:v>7.4999999999999997E-2</c:v>
                </c:pt>
                <c:pt idx="13">
                  <c:v>8.1000000000000003E-2</c:v>
                </c:pt>
                <c:pt idx="14">
                  <c:v>8.7999999999999995E-2</c:v>
                </c:pt>
                <c:pt idx="15">
                  <c:v>9.4E-2</c:v>
                </c:pt>
                <c:pt idx="16">
                  <c:v>0.1</c:v>
                </c:pt>
                <c:pt idx="17">
                  <c:v>0.106</c:v>
                </c:pt>
                <c:pt idx="18">
                  <c:v>0.113</c:v>
                </c:pt>
                <c:pt idx="19">
                  <c:v>0.11899999999999999</c:v>
                </c:pt>
                <c:pt idx="20">
                  <c:v>0.125</c:v>
                </c:pt>
                <c:pt idx="21">
                  <c:v>0.13100000000000001</c:v>
                </c:pt>
                <c:pt idx="22">
                  <c:v>0.13800000000000001</c:v>
                </c:pt>
                <c:pt idx="23">
                  <c:v>0.14399999999999999</c:v>
                </c:pt>
                <c:pt idx="24">
                  <c:v>0.15</c:v>
                </c:pt>
                <c:pt idx="25">
                  <c:v>0.156</c:v>
                </c:pt>
                <c:pt idx="26">
                  <c:v>0.16300000000000001</c:v>
                </c:pt>
                <c:pt idx="27">
                  <c:v>0.16900000000000001</c:v>
                </c:pt>
                <c:pt idx="28">
                  <c:v>0.17499999999999999</c:v>
                </c:pt>
                <c:pt idx="29">
                  <c:v>0.18099999999999999</c:v>
                </c:pt>
                <c:pt idx="30">
                  <c:v>0.188</c:v>
                </c:pt>
                <c:pt idx="31">
                  <c:v>0.19400000000000001</c:v>
                </c:pt>
                <c:pt idx="32">
                  <c:v>0.2</c:v>
                </c:pt>
              </c:numCache>
            </c:numRef>
          </c:xVal>
          <c:yVal>
            <c:numRef>
              <c:f>Hoja1!$I$61:$I$93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1.0500000000000002E-2</c:v>
                </c:pt>
                <c:pt idx="3">
                  <c:v>3.2500000000000001E-2</c:v>
                </c:pt>
                <c:pt idx="4">
                  <c:v>6.5125000000000002E-2</c:v>
                </c:pt>
                <c:pt idx="5">
                  <c:v>0.1135</c:v>
                </c:pt>
                <c:pt idx="6">
                  <c:v>0.16600000000000001</c:v>
                </c:pt>
                <c:pt idx="7">
                  <c:v>0.21875000000000003</c:v>
                </c:pt>
                <c:pt idx="8">
                  <c:v>0.27549999999999997</c:v>
                </c:pt>
                <c:pt idx="9">
                  <c:v>0.32687500000000003</c:v>
                </c:pt>
                <c:pt idx="10">
                  <c:v>0.38175000000000003</c:v>
                </c:pt>
                <c:pt idx="11">
                  <c:v>0.43912499999999999</c:v>
                </c:pt>
                <c:pt idx="12">
                  <c:v>0.49087500000000006</c:v>
                </c:pt>
                <c:pt idx="13">
                  <c:v>0.5455000000000001</c:v>
                </c:pt>
                <c:pt idx="14">
                  <c:v>0.60087499999999994</c:v>
                </c:pt>
                <c:pt idx="15">
                  <c:v>0.65437500000000004</c:v>
                </c:pt>
                <c:pt idx="16">
                  <c:v>0.71137499999999998</c:v>
                </c:pt>
                <c:pt idx="17">
                  <c:v>0.76662499999999989</c:v>
                </c:pt>
                <c:pt idx="18">
                  <c:v>0.81987499999999991</c:v>
                </c:pt>
                <c:pt idx="19">
                  <c:v>0.87575000000000003</c:v>
                </c:pt>
                <c:pt idx="20">
                  <c:v>0.93074999999999997</c:v>
                </c:pt>
                <c:pt idx="21">
                  <c:v>0.98762499999999998</c:v>
                </c:pt>
                <c:pt idx="22">
                  <c:v>1.0431250000000001</c:v>
                </c:pt>
                <c:pt idx="23">
                  <c:v>1.0981249999999998</c:v>
                </c:pt>
                <c:pt idx="24">
                  <c:v>1.154625</c:v>
                </c:pt>
                <c:pt idx="25">
                  <c:v>1.2086250000000001</c:v>
                </c:pt>
                <c:pt idx="26">
                  <c:v>1.265625</c:v>
                </c:pt>
                <c:pt idx="27">
                  <c:v>1.322875</c:v>
                </c:pt>
                <c:pt idx="28">
                  <c:v>1.3767500000000001</c:v>
                </c:pt>
                <c:pt idx="29">
                  <c:v>1.4339999999999997</c:v>
                </c:pt>
                <c:pt idx="30">
                  <c:v>1.4901249999999999</c:v>
                </c:pt>
                <c:pt idx="31">
                  <c:v>1.528</c:v>
                </c:pt>
                <c:pt idx="32">
                  <c:v>1.544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53-4800-84B3-3EA88A0B5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2871967"/>
        <c:axId val="1151728863"/>
      </c:scatterChart>
      <c:valAx>
        <c:axId val="942871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Tiempo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728863"/>
        <c:crosses val="autoZero"/>
        <c:crossBetween val="midCat"/>
      </c:valAx>
      <c:valAx>
        <c:axId val="115172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Velocidad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871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44467623176875876"/>
          <c:y val="0.91094824499393801"/>
          <c:w val="0.26182576745969116"/>
          <c:h val="7.20122514667989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aₛ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6.9664646123549584E-2"/>
                  <c:y val="0.2477155993511609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aᵢ = -1.6765t + 8.8737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Hoja1!$U$69:$U$93</c:f>
              <c:numCache>
                <c:formatCode>General</c:formatCode>
                <c:ptCount val="25"/>
                <c:pt idx="0">
                  <c:v>3.7999999999999999E-2</c:v>
                </c:pt>
                <c:pt idx="1">
                  <c:v>4.3999999999999997E-2</c:v>
                </c:pt>
                <c:pt idx="2">
                  <c:v>0.05</c:v>
                </c:pt>
                <c:pt idx="3">
                  <c:v>5.6000000000000001E-2</c:v>
                </c:pt>
                <c:pt idx="4">
                  <c:v>6.3E-2</c:v>
                </c:pt>
                <c:pt idx="5">
                  <c:v>6.9000000000000006E-2</c:v>
                </c:pt>
                <c:pt idx="6">
                  <c:v>7.4999999999999997E-2</c:v>
                </c:pt>
                <c:pt idx="7">
                  <c:v>8.1000000000000003E-2</c:v>
                </c:pt>
                <c:pt idx="8">
                  <c:v>8.7999999999999995E-2</c:v>
                </c:pt>
                <c:pt idx="9">
                  <c:v>9.4E-2</c:v>
                </c:pt>
                <c:pt idx="10">
                  <c:v>0.1</c:v>
                </c:pt>
                <c:pt idx="11">
                  <c:v>0.106</c:v>
                </c:pt>
                <c:pt idx="12">
                  <c:v>0.113</c:v>
                </c:pt>
                <c:pt idx="13">
                  <c:v>0.11899999999999999</c:v>
                </c:pt>
                <c:pt idx="14">
                  <c:v>0.125</c:v>
                </c:pt>
                <c:pt idx="15">
                  <c:v>0.13100000000000001</c:v>
                </c:pt>
                <c:pt idx="16">
                  <c:v>0.13800000000000001</c:v>
                </c:pt>
                <c:pt idx="17">
                  <c:v>0.14399999999999999</c:v>
                </c:pt>
                <c:pt idx="18">
                  <c:v>0.15</c:v>
                </c:pt>
                <c:pt idx="19">
                  <c:v>0.156</c:v>
                </c:pt>
                <c:pt idx="20">
                  <c:v>0.16300000000000001</c:v>
                </c:pt>
                <c:pt idx="21">
                  <c:v>0.16900000000000001</c:v>
                </c:pt>
                <c:pt idx="22">
                  <c:v>0.17499999999999999</c:v>
                </c:pt>
                <c:pt idx="23">
                  <c:v>0.18099999999999999</c:v>
                </c:pt>
                <c:pt idx="24">
                  <c:v>0.188</c:v>
                </c:pt>
              </c:numCache>
            </c:numRef>
          </c:xVal>
          <c:yVal>
            <c:numRef>
              <c:f>Hoja1!$V$69:$V$93</c:f>
              <c:numCache>
                <c:formatCode>General</c:formatCode>
                <c:ptCount val="25"/>
                <c:pt idx="0">
                  <c:v>8.4326249999999998</c:v>
                </c:pt>
                <c:pt idx="1">
                  <c:v>8.7076250000000002</c:v>
                </c:pt>
                <c:pt idx="2">
                  <c:v>8.7992500000000007</c:v>
                </c:pt>
                <c:pt idx="3">
                  <c:v>8.7260000000000009</c:v>
                </c:pt>
                <c:pt idx="4">
                  <c:v>8.7442499999999992</c:v>
                </c:pt>
                <c:pt idx="5">
                  <c:v>8.8541249999999998</c:v>
                </c:pt>
                <c:pt idx="6">
                  <c:v>8.780875</c:v>
                </c:pt>
                <c:pt idx="7">
                  <c:v>8.8361249999999991</c:v>
                </c:pt>
                <c:pt idx="8">
                  <c:v>8.8544999999999998</c:v>
                </c:pt>
                <c:pt idx="9">
                  <c:v>8.7261249999999997</c:v>
                </c:pt>
                <c:pt idx="10">
                  <c:v>8.8178750000000008</c:v>
                </c:pt>
                <c:pt idx="11">
                  <c:v>8.7258750000000003</c:v>
                </c:pt>
                <c:pt idx="12">
                  <c:v>8.7626249999999999</c:v>
                </c:pt>
                <c:pt idx="13">
                  <c:v>8.7258750000000003</c:v>
                </c:pt>
                <c:pt idx="14">
                  <c:v>8.6708750000000006</c:v>
                </c:pt>
                <c:pt idx="15">
                  <c:v>8.7626249999999999</c:v>
                </c:pt>
                <c:pt idx="16">
                  <c:v>8.7258750000000003</c:v>
                </c:pt>
                <c:pt idx="17">
                  <c:v>8.7258750000000003</c:v>
                </c:pt>
                <c:pt idx="18">
                  <c:v>8.7810000000000006</c:v>
                </c:pt>
                <c:pt idx="19">
                  <c:v>8.6709999999999994</c:v>
                </c:pt>
                <c:pt idx="20">
                  <c:v>8.5427499999999998</c:v>
                </c:pt>
                <c:pt idx="21">
                  <c:v>8.5793750000000006</c:v>
                </c:pt>
                <c:pt idx="22">
                  <c:v>8.3776250000000001</c:v>
                </c:pt>
                <c:pt idx="23">
                  <c:v>8.4324999999999992</c:v>
                </c:pt>
                <c:pt idx="24">
                  <c:v>8.359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78B-46BF-8BAB-F3062DAB197C}"/>
            </c:ext>
          </c:extLst>
        </c:ser>
        <c:ser>
          <c:idx val="1"/>
          <c:order val="1"/>
          <c:tx>
            <c:v>aᵢ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8301414770248197"/>
                  <c:y val="0.2596166963920290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aₛ = 2.8272t + 8.493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Hoja1!$U$69:$U$93</c:f>
              <c:numCache>
                <c:formatCode>General</c:formatCode>
                <c:ptCount val="25"/>
                <c:pt idx="0">
                  <c:v>3.7999999999999999E-2</c:v>
                </c:pt>
                <c:pt idx="1">
                  <c:v>4.3999999999999997E-2</c:v>
                </c:pt>
                <c:pt idx="2">
                  <c:v>0.05</c:v>
                </c:pt>
                <c:pt idx="3">
                  <c:v>5.6000000000000001E-2</c:v>
                </c:pt>
                <c:pt idx="4">
                  <c:v>6.3E-2</c:v>
                </c:pt>
                <c:pt idx="5">
                  <c:v>6.9000000000000006E-2</c:v>
                </c:pt>
                <c:pt idx="6">
                  <c:v>7.4999999999999997E-2</c:v>
                </c:pt>
                <c:pt idx="7">
                  <c:v>8.1000000000000003E-2</c:v>
                </c:pt>
                <c:pt idx="8">
                  <c:v>8.7999999999999995E-2</c:v>
                </c:pt>
                <c:pt idx="9">
                  <c:v>9.4E-2</c:v>
                </c:pt>
                <c:pt idx="10">
                  <c:v>0.1</c:v>
                </c:pt>
                <c:pt idx="11">
                  <c:v>0.106</c:v>
                </c:pt>
                <c:pt idx="12">
                  <c:v>0.113</c:v>
                </c:pt>
                <c:pt idx="13">
                  <c:v>0.11899999999999999</c:v>
                </c:pt>
                <c:pt idx="14">
                  <c:v>0.125</c:v>
                </c:pt>
                <c:pt idx="15">
                  <c:v>0.13100000000000001</c:v>
                </c:pt>
                <c:pt idx="16">
                  <c:v>0.13800000000000001</c:v>
                </c:pt>
                <c:pt idx="17">
                  <c:v>0.14399999999999999</c:v>
                </c:pt>
                <c:pt idx="18">
                  <c:v>0.15</c:v>
                </c:pt>
                <c:pt idx="19">
                  <c:v>0.156</c:v>
                </c:pt>
                <c:pt idx="20">
                  <c:v>0.16300000000000001</c:v>
                </c:pt>
                <c:pt idx="21">
                  <c:v>0.16900000000000001</c:v>
                </c:pt>
                <c:pt idx="22">
                  <c:v>0.17499999999999999</c:v>
                </c:pt>
                <c:pt idx="23">
                  <c:v>0.18099999999999999</c:v>
                </c:pt>
                <c:pt idx="24">
                  <c:v>0.188</c:v>
                </c:pt>
              </c:numCache>
            </c:numRef>
          </c:xVal>
          <c:yVal>
            <c:numRef>
              <c:f>Hoja1!$W$69:$W$93</c:f>
              <c:numCache>
                <c:formatCode>General</c:formatCode>
                <c:ptCount val="25"/>
                <c:pt idx="0">
                  <c:v>8.4143749999999997</c:v>
                </c:pt>
                <c:pt idx="1">
                  <c:v>8.5242500000000003</c:v>
                </c:pt>
                <c:pt idx="2">
                  <c:v>8.6343750000000004</c:v>
                </c:pt>
                <c:pt idx="3">
                  <c:v>8.8175000000000008</c:v>
                </c:pt>
                <c:pt idx="4">
                  <c:v>8.6159999999999997</c:v>
                </c:pt>
                <c:pt idx="5">
                  <c:v>8.7442499999999992</c:v>
                </c:pt>
                <c:pt idx="6">
                  <c:v>8.7627500000000005</c:v>
                </c:pt>
                <c:pt idx="7">
                  <c:v>8.6159999999999997</c:v>
                </c:pt>
                <c:pt idx="8">
                  <c:v>8.8176249999999996</c:v>
                </c:pt>
                <c:pt idx="9">
                  <c:v>8.8543749999999992</c:v>
                </c:pt>
                <c:pt idx="10">
                  <c:v>8.7628749999999993</c:v>
                </c:pt>
                <c:pt idx="11">
                  <c:v>8.8543749999999992</c:v>
                </c:pt>
                <c:pt idx="12">
                  <c:v>8.7810000000000006</c:v>
                </c:pt>
                <c:pt idx="13">
                  <c:v>8.8360000000000003</c:v>
                </c:pt>
                <c:pt idx="14">
                  <c:v>8.9276250000000008</c:v>
                </c:pt>
                <c:pt idx="15">
                  <c:v>8.8908749999999994</c:v>
                </c:pt>
                <c:pt idx="16">
                  <c:v>8.9459999999999997</c:v>
                </c:pt>
                <c:pt idx="17">
                  <c:v>8.8360000000000003</c:v>
                </c:pt>
                <c:pt idx="18">
                  <c:v>8.8908749999999994</c:v>
                </c:pt>
                <c:pt idx="19">
                  <c:v>8.9826250000000005</c:v>
                </c:pt>
                <c:pt idx="20">
                  <c:v>8.891</c:v>
                </c:pt>
                <c:pt idx="21">
                  <c:v>9.0193750000000001</c:v>
                </c:pt>
                <c:pt idx="22">
                  <c:v>8.9824999999999999</c:v>
                </c:pt>
                <c:pt idx="23">
                  <c:v>8.9459999999999997</c:v>
                </c:pt>
                <c:pt idx="24">
                  <c:v>8.9459999999999997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78B-46BF-8BAB-F3062DAB1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749063"/>
        <c:axId val="432755207"/>
      </c:scatterChart>
      <c:valAx>
        <c:axId val="432749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Tiempo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755207"/>
        <c:crosses val="autoZero"/>
        <c:crossBetween val="midCat"/>
      </c:valAx>
      <c:valAx>
        <c:axId val="432755207"/>
        <c:scaling>
          <c:orientation val="minMax"/>
          <c:max val="11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Aceleraión [m/s^2]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749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vₛ</c:v>
          </c:tx>
          <c:spPr>
            <a:ln w="2540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00B050"/>
              </a:solidFill>
              <a:ln w="9525">
                <a:solidFill>
                  <a:srgbClr val="00B050"/>
                </a:solidFill>
                <a:prstDash val="solid"/>
              </a:ln>
              <a:effectLst/>
            </c:spPr>
          </c:marker>
          <c:xVal>
            <c:numRef>
              <c:f>Hoja1!$G$61:$G$93</c:f>
              <c:numCache>
                <c:formatCode>General</c:formatCode>
                <c:ptCount val="33"/>
                <c:pt idx="0">
                  <c:v>0</c:v>
                </c:pt>
                <c:pt idx="1">
                  <c:v>6.0000000000000001E-3</c:v>
                </c:pt>
                <c:pt idx="2">
                  <c:v>1.2999999999999999E-2</c:v>
                </c:pt>
                <c:pt idx="3">
                  <c:v>1.9E-2</c:v>
                </c:pt>
                <c:pt idx="4">
                  <c:v>2.5000000000000001E-2</c:v>
                </c:pt>
                <c:pt idx="5">
                  <c:v>3.1E-2</c:v>
                </c:pt>
                <c:pt idx="6">
                  <c:v>3.7999999999999999E-2</c:v>
                </c:pt>
                <c:pt idx="7">
                  <c:v>4.3999999999999997E-2</c:v>
                </c:pt>
                <c:pt idx="8">
                  <c:v>0.05</c:v>
                </c:pt>
                <c:pt idx="9">
                  <c:v>5.6000000000000001E-2</c:v>
                </c:pt>
                <c:pt idx="10">
                  <c:v>6.3E-2</c:v>
                </c:pt>
                <c:pt idx="11">
                  <c:v>6.9000000000000006E-2</c:v>
                </c:pt>
                <c:pt idx="12">
                  <c:v>7.4999999999999997E-2</c:v>
                </c:pt>
                <c:pt idx="13">
                  <c:v>8.1000000000000003E-2</c:v>
                </c:pt>
                <c:pt idx="14">
                  <c:v>8.7999999999999995E-2</c:v>
                </c:pt>
                <c:pt idx="15">
                  <c:v>9.4E-2</c:v>
                </c:pt>
                <c:pt idx="16">
                  <c:v>0.1</c:v>
                </c:pt>
                <c:pt idx="17">
                  <c:v>0.106</c:v>
                </c:pt>
                <c:pt idx="18">
                  <c:v>0.113</c:v>
                </c:pt>
                <c:pt idx="19">
                  <c:v>0.11899999999999999</c:v>
                </c:pt>
                <c:pt idx="20">
                  <c:v>0.125</c:v>
                </c:pt>
                <c:pt idx="21">
                  <c:v>0.13100000000000001</c:v>
                </c:pt>
                <c:pt idx="22">
                  <c:v>0.13800000000000001</c:v>
                </c:pt>
                <c:pt idx="23">
                  <c:v>0.14399999999999999</c:v>
                </c:pt>
                <c:pt idx="24">
                  <c:v>0.15</c:v>
                </c:pt>
                <c:pt idx="25">
                  <c:v>0.156</c:v>
                </c:pt>
                <c:pt idx="26">
                  <c:v>0.16300000000000001</c:v>
                </c:pt>
                <c:pt idx="27">
                  <c:v>0.16900000000000001</c:v>
                </c:pt>
                <c:pt idx="28">
                  <c:v>0.17499999999999999</c:v>
                </c:pt>
                <c:pt idx="29">
                  <c:v>0.18099999999999999</c:v>
                </c:pt>
                <c:pt idx="30">
                  <c:v>0.188</c:v>
                </c:pt>
                <c:pt idx="31">
                  <c:v>0.19400000000000001</c:v>
                </c:pt>
                <c:pt idx="32">
                  <c:v>0.2</c:v>
                </c:pt>
              </c:numCache>
            </c:numRef>
          </c:xVal>
          <c:yVal>
            <c:numRef>
              <c:f>Hoja1!$H$61:$H$93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1.15E-2</c:v>
                </c:pt>
                <c:pt idx="3">
                  <c:v>3.3375000000000002E-2</c:v>
                </c:pt>
                <c:pt idx="4">
                  <c:v>6.9125000000000006E-2</c:v>
                </c:pt>
                <c:pt idx="5">
                  <c:v>0.11700000000000001</c:v>
                </c:pt>
                <c:pt idx="6">
                  <c:v>0.170125</c:v>
                </c:pt>
                <c:pt idx="7">
                  <c:v>0.22600000000000003</c:v>
                </c:pt>
                <c:pt idx="8">
                  <c:v>0.27999999999999997</c:v>
                </c:pt>
                <c:pt idx="9">
                  <c:v>0.33462500000000001</c:v>
                </c:pt>
                <c:pt idx="10">
                  <c:v>0.39</c:v>
                </c:pt>
                <c:pt idx="11">
                  <c:v>0.44412499999999999</c:v>
                </c:pt>
                <c:pt idx="12">
                  <c:v>0.49874999999999997</c:v>
                </c:pt>
                <c:pt idx="13">
                  <c:v>0.5558749999999999</c:v>
                </c:pt>
                <c:pt idx="14">
                  <c:v>0.60962500000000008</c:v>
                </c:pt>
                <c:pt idx="15">
                  <c:v>0.66499999999999992</c:v>
                </c:pt>
                <c:pt idx="16">
                  <c:v>0.72000000000000008</c:v>
                </c:pt>
                <c:pt idx="17">
                  <c:v>0.77412500000000006</c:v>
                </c:pt>
                <c:pt idx="18">
                  <c:v>0.83</c:v>
                </c:pt>
                <c:pt idx="19">
                  <c:v>0.88312499999999994</c:v>
                </c:pt>
                <c:pt idx="20">
                  <c:v>0.93900000000000006</c:v>
                </c:pt>
                <c:pt idx="21">
                  <c:v>0.9923749999999999</c:v>
                </c:pt>
                <c:pt idx="22">
                  <c:v>1.046875</c:v>
                </c:pt>
                <c:pt idx="23">
                  <c:v>1.1023749999999999</c:v>
                </c:pt>
                <c:pt idx="24">
                  <c:v>1.1572500000000001</c:v>
                </c:pt>
                <c:pt idx="25">
                  <c:v>1.210375</c:v>
                </c:pt>
                <c:pt idx="26">
                  <c:v>1.2662499999999999</c:v>
                </c:pt>
                <c:pt idx="27">
                  <c:v>1.3191249999999999</c:v>
                </c:pt>
                <c:pt idx="28">
                  <c:v>1.3709999999999998</c:v>
                </c:pt>
                <c:pt idx="29">
                  <c:v>1.425</c:v>
                </c:pt>
                <c:pt idx="30">
                  <c:v>1.4757500000000001</c:v>
                </c:pt>
                <c:pt idx="31">
                  <c:v>1.5105</c:v>
                </c:pt>
                <c:pt idx="32">
                  <c:v>1.522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6E-4C67-9F00-D6D8F37D7730}"/>
            </c:ext>
          </c:extLst>
        </c:ser>
        <c:ser>
          <c:idx val="1"/>
          <c:order val="1"/>
          <c:tx>
            <c:v>vᵢ</c:v>
          </c:tx>
          <c:spPr>
            <a:ln w="254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dash"/>
            <c:size val="1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xVal>
            <c:numRef>
              <c:f>Hoja1!$G$61:$G$93</c:f>
              <c:numCache>
                <c:formatCode>General</c:formatCode>
                <c:ptCount val="33"/>
                <c:pt idx="0">
                  <c:v>0</c:v>
                </c:pt>
                <c:pt idx="1">
                  <c:v>6.0000000000000001E-3</c:v>
                </c:pt>
                <c:pt idx="2">
                  <c:v>1.2999999999999999E-2</c:v>
                </c:pt>
                <c:pt idx="3">
                  <c:v>1.9E-2</c:v>
                </c:pt>
                <c:pt idx="4">
                  <c:v>2.5000000000000001E-2</c:v>
                </c:pt>
                <c:pt idx="5">
                  <c:v>3.1E-2</c:v>
                </c:pt>
                <c:pt idx="6">
                  <c:v>3.7999999999999999E-2</c:v>
                </c:pt>
                <c:pt idx="7">
                  <c:v>4.3999999999999997E-2</c:v>
                </c:pt>
                <c:pt idx="8">
                  <c:v>0.05</c:v>
                </c:pt>
                <c:pt idx="9">
                  <c:v>5.6000000000000001E-2</c:v>
                </c:pt>
                <c:pt idx="10">
                  <c:v>6.3E-2</c:v>
                </c:pt>
                <c:pt idx="11">
                  <c:v>6.9000000000000006E-2</c:v>
                </c:pt>
                <c:pt idx="12">
                  <c:v>7.4999999999999997E-2</c:v>
                </c:pt>
                <c:pt idx="13">
                  <c:v>8.1000000000000003E-2</c:v>
                </c:pt>
                <c:pt idx="14">
                  <c:v>8.7999999999999995E-2</c:v>
                </c:pt>
                <c:pt idx="15">
                  <c:v>9.4E-2</c:v>
                </c:pt>
                <c:pt idx="16">
                  <c:v>0.1</c:v>
                </c:pt>
                <c:pt idx="17">
                  <c:v>0.106</c:v>
                </c:pt>
                <c:pt idx="18">
                  <c:v>0.113</c:v>
                </c:pt>
                <c:pt idx="19">
                  <c:v>0.11899999999999999</c:v>
                </c:pt>
                <c:pt idx="20">
                  <c:v>0.125</c:v>
                </c:pt>
                <c:pt idx="21">
                  <c:v>0.13100000000000001</c:v>
                </c:pt>
                <c:pt idx="22">
                  <c:v>0.13800000000000001</c:v>
                </c:pt>
                <c:pt idx="23">
                  <c:v>0.14399999999999999</c:v>
                </c:pt>
                <c:pt idx="24">
                  <c:v>0.15</c:v>
                </c:pt>
                <c:pt idx="25">
                  <c:v>0.156</c:v>
                </c:pt>
                <c:pt idx="26">
                  <c:v>0.16300000000000001</c:v>
                </c:pt>
                <c:pt idx="27">
                  <c:v>0.16900000000000001</c:v>
                </c:pt>
                <c:pt idx="28">
                  <c:v>0.17499999999999999</c:v>
                </c:pt>
                <c:pt idx="29">
                  <c:v>0.18099999999999999</c:v>
                </c:pt>
                <c:pt idx="30">
                  <c:v>0.188</c:v>
                </c:pt>
                <c:pt idx="31">
                  <c:v>0.19400000000000001</c:v>
                </c:pt>
                <c:pt idx="32">
                  <c:v>0.2</c:v>
                </c:pt>
              </c:numCache>
            </c:numRef>
          </c:xVal>
          <c:yVal>
            <c:numRef>
              <c:f>Hoja1!$I$61:$I$93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1.0500000000000002E-2</c:v>
                </c:pt>
                <c:pt idx="3">
                  <c:v>3.2500000000000001E-2</c:v>
                </c:pt>
                <c:pt idx="4">
                  <c:v>6.5125000000000002E-2</c:v>
                </c:pt>
                <c:pt idx="5">
                  <c:v>0.1135</c:v>
                </c:pt>
                <c:pt idx="6">
                  <c:v>0.16600000000000001</c:v>
                </c:pt>
                <c:pt idx="7">
                  <c:v>0.21875000000000003</c:v>
                </c:pt>
                <c:pt idx="8">
                  <c:v>0.27549999999999997</c:v>
                </c:pt>
                <c:pt idx="9">
                  <c:v>0.32687500000000003</c:v>
                </c:pt>
                <c:pt idx="10">
                  <c:v>0.38175000000000003</c:v>
                </c:pt>
                <c:pt idx="11">
                  <c:v>0.43912499999999999</c:v>
                </c:pt>
                <c:pt idx="12">
                  <c:v>0.49087500000000006</c:v>
                </c:pt>
                <c:pt idx="13">
                  <c:v>0.5455000000000001</c:v>
                </c:pt>
                <c:pt idx="14">
                  <c:v>0.60087499999999994</c:v>
                </c:pt>
                <c:pt idx="15">
                  <c:v>0.65437500000000004</c:v>
                </c:pt>
                <c:pt idx="16">
                  <c:v>0.71137499999999998</c:v>
                </c:pt>
                <c:pt idx="17">
                  <c:v>0.76662499999999989</c:v>
                </c:pt>
                <c:pt idx="18">
                  <c:v>0.81987499999999991</c:v>
                </c:pt>
                <c:pt idx="19">
                  <c:v>0.87575000000000003</c:v>
                </c:pt>
                <c:pt idx="20">
                  <c:v>0.93074999999999997</c:v>
                </c:pt>
                <c:pt idx="21">
                  <c:v>0.98762499999999998</c:v>
                </c:pt>
                <c:pt idx="22">
                  <c:v>1.0431250000000001</c:v>
                </c:pt>
                <c:pt idx="23">
                  <c:v>1.0981249999999998</c:v>
                </c:pt>
                <c:pt idx="24">
                  <c:v>1.154625</c:v>
                </c:pt>
                <c:pt idx="25">
                  <c:v>1.2086250000000001</c:v>
                </c:pt>
                <c:pt idx="26">
                  <c:v>1.265625</c:v>
                </c:pt>
                <c:pt idx="27">
                  <c:v>1.322875</c:v>
                </c:pt>
                <c:pt idx="28">
                  <c:v>1.3767500000000001</c:v>
                </c:pt>
                <c:pt idx="29">
                  <c:v>1.4339999999999997</c:v>
                </c:pt>
                <c:pt idx="30">
                  <c:v>1.4901249999999999</c:v>
                </c:pt>
                <c:pt idx="31">
                  <c:v>1.528</c:v>
                </c:pt>
                <c:pt idx="32">
                  <c:v>1.544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6E-4C67-9F00-D6D8F37D7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2871967"/>
        <c:axId val="1151728863"/>
      </c:scatterChart>
      <c:valAx>
        <c:axId val="942871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Tiempo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728863"/>
        <c:crosses val="autoZero"/>
        <c:crossBetween val="midCat"/>
      </c:valAx>
      <c:valAx>
        <c:axId val="115172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Velocidad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871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Hoja1!$J$113</c:f>
              <c:strCache>
                <c:ptCount val="1"/>
                <c:pt idx="0">
                  <c:v>aₛ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1"/>
            <c:dispEq val="1"/>
            <c:trendlineLbl>
              <c:layout>
                <c:manualLayout>
                  <c:x val="0.12182015562436566"/>
                  <c:y val="-6.7069534381180282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as = 2.235x + 9.3796</a:t>
                    </a:r>
                    <a:br>
                      <a:rPr lang="en-US" baseline="0"/>
                    </a:br>
                    <a:r>
                      <a:rPr lang="en-US" baseline="0"/>
                      <a:t>R² = 0.0511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Hoja1!$I$114:$I$146</c:f>
              <c:numCache>
                <c:formatCode>General</c:formatCode>
                <c:ptCount val="33"/>
                <c:pt idx="0">
                  <c:v>0</c:v>
                </c:pt>
                <c:pt idx="1">
                  <c:v>6.0000000000000001E-3</c:v>
                </c:pt>
                <c:pt idx="2">
                  <c:v>1.2999999999999999E-2</c:v>
                </c:pt>
                <c:pt idx="3">
                  <c:v>1.9E-2</c:v>
                </c:pt>
                <c:pt idx="4">
                  <c:v>2.5000000000000001E-2</c:v>
                </c:pt>
                <c:pt idx="5">
                  <c:v>3.1E-2</c:v>
                </c:pt>
                <c:pt idx="6">
                  <c:v>3.7999999999999999E-2</c:v>
                </c:pt>
                <c:pt idx="7">
                  <c:v>4.3999999999999997E-2</c:v>
                </c:pt>
                <c:pt idx="8">
                  <c:v>0.05</c:v>
                </c:pt>
                <c:pt idx="9">
                  <c:v>5.6000000000000001E-2</c:v>
                </c:pt>
                <c:pt idx="10">
                  <c:v>6.3E-2</c:v>
                </c:pt>
                <c:pt idx="11">
                  <c:v>6.9000000000000006E-2</c:v>
                </c:pt>
                <c:pt idx="12">
                  <c:v>7.4999999999999997E-2</c:v>
                </c:pt>
                <c:pt idx="13">
                  <c:v>8.1000000000000003E-2</c:v>
                </c:pt>
                <c:pt idx="14">
                  <c:v>8.7999999999999995E-2</c:v>
                </c:pt>
                <c:pt idx="15">
                  <c:v>9.4E-2</c:v>
                </c:pt>
                <c:pt idx="16">
                  <c:v>0.1</c:v>
                </c:pt>
                <c:pt idx="17">
                  <c:v>0.106</c:v>
                </c:pt>
                <c:pt idx="18">
                  <c:v>0.113</c:v>
                </c:pt>
                <c:pt idx="19">
                  <c:v>0.11899999999999999</c:v>
                </c:pt>
                <c:pt idx="20">
                  <c:v>0.125</c:v>
                </c:pt>
                <c:pt idx="21">
                  <c:v>0.13100000000000001</c:v>
                </c:pt>
                <c:pt idx="22">
                  <c:v>0.13800000000000001</c:v>
                </c:pt>
                <c:pt idx="23">
                  <c:v>0.14399999999999999</c:v>
                </c:pt>
                <c:pt idx="24">
                  <c:v>0.15</c:v>
                </c:pt>
                <c:pt idx="25">
                  <c:v>0.156</c:v>
                </c:pt>
                <c:pt idx="26">
                  <c:v>0.16300000000000001</c:v>
                </c:pt>
                <c:pt idx="27">
                  <c:v>0.16900000000000001</c:v>
                </c:pt>
                <c:pt idx="28">
                  <c:v>0.17499999999999999</c:v>
                </c:pt>
                <c:pt idx="29">
                  <c:v>0.18099999999999999</c:v>
                </c:pt>
                <c:pt idx="30">
                  <c:v>0.188</c:v>
                </c:pt>
                <c:pt idx="31">
                  <c:v>0.19400000000000001</c:v>
                </c:pt>
                <c:pt idx="32">
                  <c:v>0.2</c:v>
                </c:pt>
              </c:numCache>
            </c:numRef>
          </c:xVal>
          <c:yVal>
            <c:numRef>
              <c:f>Hoja1!$J$114:$J$146</c:f>
              <c:numCache>
                <c:formatCode>General</c:formatCode>
                <c:ptCount val="33"/>
                <c:pt idx="4">
                  <c:v>7.58</c:v>
                </c:pt>
                <c:pt idx="5">
                  <c:v>9.2279999999999998</c:v>
                </c:pt>
                <c:pt idx="6">
                  <c:v>9.5570000000000004</c:v>
                </c:pt>
                <c:pt idx="7">
                  <c:v>9.7219999999999995</c:v>
                </c:pt>
                <c:pt idx="8">
                  <c:v>9.8870000000000005</c:v>
                </c:pt>
                <c:pt idx="9">
                  <c:v>9.7219999999999995</c:v>
                </c:pt>
                <c:pt idx="10">
                  <c:v>9.8870000000000005</c:v>
                </c:pt>
                <c:pt idx="11">
                  <c:v>9.8870000000000005</c:v>
                </c:pt>
                <c:pt idx="12">
                  <c:v>9.8870000000000005</c:v>
                </c:pt>
                <c:pt idx="13">
                  <c:v>9.8870000000000005</c:v>
                </c:pt>
                <c:pt idx="14">
                  <c:v>9.7219999999999995</c:v>
                </c:pt>
                <c:pt idx="15">
                  <c:v>9.8870000000000005</c:v>
                </c:pt>
                <c:pt idx="16">
                  <c:v>9.7219999999999995</c:v>
                </c:pt>
                <c:pt idx="17">
                  <c:v>9.7219999999999995</c:v>
                </c:pt>
                <c:pt idx="18">
                  <c:v>9.8870000000000005</c:v>
                </c:pt>
                <c:pt idx="19">
                  <c:v>9.5570000000000004</c:v>
                </c:pt>
                <c:pt idx="20">
                  <c:v>9.7219999999999995</c:v>
                </c:pt>
                <c:pt idx="21">
                  <c:v>9.7219999999999995</c:v>
                </c:pt>
                <c:pt idx="22">
                  <c:v>9.5570000000000004</c:v>
                </c:pt>
                <c:pt idx="23">
                  <c:v>9.5570000000000004</c:v>
                </c:pt>
                <c:pt idx="24">
                  <c:v>9.5570000000000004</c:v>
                </c:pt>
                <c:pt idx="25">
                  <c:v>9.3919999999999995</c:v>
                </c:pt>
                <c:pt idx="26">
                  <c:v>9.5570000000000004</c:v>
                </c:pt>
                <c:pt idx="27">
                  <c:v>9.7219999999999995</c:v>
                </c:pt>
                <c:pt idx="28">
                  <c:v>9.5570000000000004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AF-4AE2-A177-80CD730B1D26}"/>
            </c:ext>
          </c:extLst>
        </c:ser>
        <c:ser>
          <c:idx val="1"/>
          <c:order val="1"/>
          <c:tx>
            <c:strRef>
              <c:f>Hoja1!$K$113</c:f>
              <c:strCache>
                <c:ptCount val="1"/>
                <c:pt idx="0">
                  <c:v>aᵢ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Hoja1!$I$114:$I$146</c:f>
              <c:numCache>
                <c:formatCode>General</c:formatCode>
                <c:ptCount val="33"/>
                <c:pt idx="0">
                  <c:v>0</c:v>
                </c:pt>
                <c:pt idx="1">
                  <c:v>6.0000000000000001E-3</c:v>
                </c:pt>
                <c:pt idx="2">
                  <c:v>1.2999999999999999E-2</c:v>
                </c:pt>
                <c:pt idx="3">
                  <c:v>1.9E-2</c:v>
                </c:pt>
                <c:pt idx="4">
                  <c:v>2.5000000000000001E-2</c:v>
                </c:pt>
                <c:pt idx="5">
                  <c:v>3.1E-2</c:v>
                </c:pt>
                <c:pt idx="6">
                  <c:v>3.7999999999999999E-2</c:v>
                </c:pt>
                <c:pt idx="7">
                  <c:v>4.3999999999999997E-2</c:v>
                </c:pt>
                <c:pt idx="8">
                  <c:v>0.05</c:v>
                </c:pt>
                <c:pt idx="9">
                  <c:v>5.6000000000000001E-2</c:v>
                </c:pt>
                <c:pt idx="10">
                  <c:v>6.3E-2</c:v>
                </c:pt>
                <c:pt idx="11">
                  <c:v>6.9000000000000006E-2</c:v>
                </c:pt>
                <c:pt idx="12">
                  <c:v>7.4999999999999997E-2</c:v>
                </c:pt>
                <c:pt idx="13">
                  <c:v>8.1000000000000003E-2</c:v>
                </c:pt>
                <c:pt idx="14">
                  <c:v>8.7999999999999995E-2</c:v>
                </c:pt>
                <c:pt idx="15">
                  <c:v>9.4E-2</c:v>
                </c:pt>
                <c:pt idx="16">
                  <c:v>0.1</c:v>
                </c:pt>
                <c:pt idx="17">
                  <c:v>0.106</c:v>
                </c:pt>
                <c:pt idx="18">
                  <c:v>0.113</c:v>
                </c:pt>
                <c:pt idx="19">
                  <c:v>0.11899999999999999</c:v>
                </c:pt>
                <c:pt idx="20">
                  <c:v>0.125</c:v>
                </c:pt>
                <c:pt idx="21">
                  <c:v>0.13100000000000001</c:v>
                </c:pt>
                <c:pt idx="22">
                  <c:v>0.13800000000000001</c:v>
                </c:pt>
                <c:pt idx="23">
                  <c:v>0.14399999999999999</c:v>
                </c:pt>
                <c:pt idx="24">
                  <c:v>0.15</c:v>
                </c:pt>
                <c:pt idx="25">
                  <c:v>0.156</c:v>
                </c:pt>
                <c:pt idx="26">
                  <c:v>0.16300000000000001</c:v>
                </c:pt>
                <c:pt idx="27">
                  <c:v>0.16900000000000001</c:v>
                </c:pt>
                <c:pt idx="28">
                  <c:v>0.17499999999999999</c:v>
                </c:pt>
                <c:pt idx="29">
                  <c:v>0.18099999999999999</c:v>
                </c:pt>
                <c:pt idx="30">
                  <c:v>0.188</c:v>
                </c:pt>
                <c:pt idx="31">
                  <c:v>0.19400000000000001</c:v>
                </c:pt>
                <c:pt idx="32">
                  <c:v>0.2</c:v>
                </c:pt>
              </c:numCache>
            </c:numRef>
          </c:xVal>
          <c:yVal>
            <c:numRef>
              <c:f>Hoja1!$K$114:$K$146</c:f>
              <c:numCache>
                <c:formatCode>General</c:formatCode>
                <c:ptCount val="33"/>
                <c:pt idx="4">
                  <c:v>7.415</c:v>
                </c:pt>
                <c:pt idx="5">
                  <c:v>8.7330000000000005</c:v>
                </c:pt>
                <c:pt idx="6">
                  <c:v>9.3919999999999995</c:v>
                </c:pt>
                <c:pt idx="7">
                  <c:v>9.5570000000000004</c:v>
                </c:pt>
                <c:pt idx="8">
                  <c:v>9.7219999999999995</c:v>
                </c:pt>
                <c:pt idx="9">
                  <c:v>9.8870000000000005</c:v>
                </c:pt>
                <c:pt idx="10">
                  <c:v>9.7219999999999995</c:v>
                </c:pt>
                <c:pt idx="11">
                  <c:v>9.7219999999999995</c:v>
                </c:pt>
                <c:pt idx="12">
                  <c:v>9.5570000000000004</c:v>
                </c:pt>
                <c:pt idx="13">
                  <c:v>9.3919999999999995</c:v>
                </c:pt>
                <c:pt idx="14">
                  <c:v>9.5570000000000004</c:v>
                </c:pt>
                <c:pt idx="15">
                  <c:v>9.8870000000000005</c:v>
                </c:pt>
                <c:pt idx="16">
                  <c:v>9.7219999999999995</c:v>
                </c:pt>
                <c:pt idx="17">
                  <c:v>9.7219999999999995</c:v>
                </c:pt>
                <c:pt idx="18">
                  <c:v>9.7219999999999995</c:v>
                </c:pt>
                <c:pt idx="19">
                  <c:v>9.3919999999999995</c:v>
                </c:pt>
                <c:pt idx="20">
                  <c:v>9.5570000000000004</c:v>
                </c:pt>
                <c:pt idx="21">
                  <c:v>9.8870000000000005</c:v>
                </c:pt>
                <c:pt idx="22">
                  <c:v>9.7219999999999995</c:v>
                </c:pt>
                <c:pt idx="23">
                  <c:v>9.7219999999999995</c:v>
                </c:pt>
                <c:pt idx="24">
                  <c:v>9.7219999999999995</c:v>
                </c:pt>
                <c:pt idx="25">
                  <c:v>9.3919999999999995</c:v>
                </c:pt>
                <c:pt idx="26">
                  <c:v>9.5570000000000004</c:v>
                </c:pt>
                <c:pt idx="27">
                  <c:v>9.8870000000000005</c:v>
                </c:pt>
                <c:pt idx="28">
                  <c:v>9.7219999999999995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4AF-4AE2-A177-80CD730B1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622399"/>
        <c:axId val="949622879"/>
      </c:scatterChart>
      <c:valAx>
        <c:axId val="949622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Tiempo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622879"/>
        <c:crosses val="autoZero"/>
        <c:crossBetween val="midCat"/>
      </c:valAx>
      <c:valAx>
        <c:axId val="94962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Aceleración [m/s²]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6223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image" Target="../media/image4.png"/><Relationship Id="rId12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11" Type="http://schemas.openxmlformats.org/officeDocument/2006/relationships/chart" Target="../charts/chart6.xml"/><Relationship Id="rId5" Type="http://schemas.openxmlformats.org/officeDocument/2006/relationships/image" Target="../media/image2.png"/><Relationship Id="rId10" Type="http://schemas.openxmlformats.org/officeDocument/2006/relationships/chart" Target="../charts/chart5.xml"/><Relationship Id="rId4" Type="http://schemas.openxmlformats.org/officeDocument/2006/relationships/image" Target="../media/image1.png"/><Relationship Id="rId9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95250</xdr:rowOff>
    </xdr:from>
    <xdr:to>
      <xdr:col>2</xdr:col>
      <xdr:colOff>590550</xdr:colOff>
      <xdr:row>46</xdr:row>
      <xdr:rowOff>119062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271462</xdr:colOff>
      <xdr:row>38</xdr:row>
      <xdr:rowOff>114300</xdr:rowOff>
    </xdr:from>
    <xdr:to>
      <xdr:col>5</xdr:col>
      <xdr:colOff>742950</xdr:colOff>
      <xdr:row>47</xdr:row>
      <xdr:rowOff>4762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438150</xdr:colOff>
      <xdr:row>39</xdr:row>
      <xdr:rowOff>9525</xdr:rowOff>
    </xdr:from>
    <xdr:to>
      <xdr:col>11</xdr:col>
      <xdr:colOff>257175</xdr:colOff>
      <xdr:row>52</xdr:row>
      <xdr:rowOff>171450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000-000009000000}"/>
            </a:ext>
            <a:ext uri="{147F2762-F138-4A5C-976F-8EAC2B608ADB}">
              <a16:predDERef xmlns:a16="http://schemas.microsoft.com/office/drawing/2014/main" pre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114300</xdr:colOff>
      <xdr:row>48</xdr:row>
      <xdr:rowOff>104775</xdr:rowOff>
    </xdr:from>
    <xdr:to>
      <xdr:col>4</xdr:col>
      <xdr:colOff>350921</xdr:colOff>
      <xdr:row>58</xdr:row>
      <xdr:rowOff>132581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300" y="8927933"/>
          <a:ext cx="3277937" cy="1865964"/>
        </a:xfrm>
        <a:prstGeom prst="rect">
          <a:avLst/>
        </a:prstGeom>
      </xdr:spPr>
    </xdr:pic>
    <xdr:clientData/>
  </xdr:twoCellAnchor>
  <xdr:twoCellAnchor editAs="oneCell">
    <xdr:from>
      <xdr:col>18</xdr:col>
      <xdr:colOff>342900</xdr:colOff>
      <xdr:row>36</xdr:row>
      <xdr:rowOff>108425</xdr:rowOff>
    </xdr:from>
    <xdr:to>
      <xdr:col>26</xdr:col>
      <xdr:colOff>312324</xdr:colOff>
      <xdr:row>55</xdr:row>
      <xdr:rowOff>55972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058900" y="6966425"/>
          <a:ext cx="6065424" cy="3567047"/>
        </a:xfrm>
        <a:prstGeom prst="rect">
          <a:avLst/>
        </a:prstGeom>
      </xdr:spPr>
    </xdr:pic>
    <xdr:clientData/>
  </xdr:twoCellAnchor>
  <xdr:twoCellAnchor editAs="oneCell">
    <xdr:from>
      <xdr:col>19</xdr:col>
      <xdr:colOff>610269</xdr:colOff>
      <xdr:row>117</xdr:row>
      <xdr:rowOff>158424</xdr:rowOff>
    </xdr:from>
    <xdr:to>
      <xdr:col>26</xdr:col>
      <xdr:colOff>372144</xdr:colOff>
      <xdr:row>132</xdr:row>
      <xdr:rowOff>59595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003602" y="22316582"/>
          <a:ext cx="5064682" cy="2741960"/>
        </a:xfrm>
        <a:prstGeom prst="rect">
          <a:avLst/>
        </a:prstGeom>
      </xdr:spPr>
    </xdr:pic>
    <xdr:clientData/>
  </xdr:twoCellAnchor>
  <xdr:twoCellAnchor editAs="oneCell">
    <xdr:from>
      <xdr:col>12</xdr:col>
      <xdr:colOff>380867</xdr:colOff>
      <xdr:row>133</xdr:row>
      <xdr:rowOff>85725</xdr:rowOff>
    </xdr:from>
    <xdr:to>
      <xdr:col>19</xdr:col>
      <xdr:colOff>341158</xdr:colOff>
      <xdr:row>148</xdr:row>
      <xdr:rowOff>94307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524867" y="25422225"/>
          <a:ext cx="5294291" cy="2866082"/>
        </a:xfrm>
        <a:prstGeom prst="rect">
          <a:avLst/>
        </a:prstGeom>
      </xdr:spPr>
    </xdr:pic>
    <xdr:clientData/>
  </xdr:twoCellAnchor>
  <xdr:twoCellAnchor editAs="oneCell">
    <xdr:from>
      <xdr:col>12</xdr:col>
      <xdr:colOff>495300</xdr:colOff>
      <xdr:row>117</xdr:row>
      <xdr:rowOff>172882</xdr:rowOff>
    </xdr:from>
    <xdr:to>
      <xdr:col>18</xdr:col>
      <xdr:colOff>493558</xdr:colOff>
      <xdr:row>130</xdr:row>
      <xdr:rowOff>170506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639300" y="22461382"/>
          <a:ext cx="4570258" cy="2474125"/>
        </a:xfrm>
        <a:prstGeom prst="rect">
          <a:avLst/>
        </a:prstGeom>
      </xdr:spPr>
    </xdr:pic>
    <xdr:clientData/>
  </xdr:twoCellAnchor>
  <xdr:twoCellAnchor>
    <xdr:from>
      <xdr:col>12</xdr:col>
      <xdr:colOff>331642</xdr:colOff>
      <xdr:row>58</xdr:row>
      <xdr:rowOff>92731</xdr:rowOff>
    </xdr:from>
    <xdr:to>
      <xdr:col>21</xdr:col>
      <xdr:colOff>232215</xdr:colOff>
      <xdr:row>84</xdr:row>
      <xdr:rowOff>177621</xdr:rowOff>
    </xdr:to>
    <xdr:graphicFrame macro="">
      <xdr:nvGraphicFramePr>
        <xdr:cNvPr id="87" name="Chart 1">
          <a:extLst>
            <a:ext uri="{FF2B5EF4-FFF2-40B4-BE49-F238E27FC236}">
              <a16:creationId xmlns:a16="http://schemas.microsoft.com/office/drawing/2014/main" id="{7BFA63BC-1265-D431-BABA-A904C25F3CB7}"/>
            </a:ext>
            <a:ext uri="{147F2762-F138-4A5C-976F-8EAC2B608ADB}">
              <a16:predDERef xmlns:a16="http://schemas.microsoft.com/office/drawing/2014/main" pred="{00000000-0008-0000-00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436466</xdr:colOff>
      <xdr:row>87</xdr:row>
      <xdr:rowOff>14126</xdr:rowOff>
    </xdr:from>
    <xdr:to>
      <xdr:col>24</xdr:col>
      <xdr:colOff>609600</xdr:colOff>
      <xdr:row>109</xdr:row>
      <xdr:rowOff>74641</xdr:rowOff>
    </xdr:to>
    <xdr:graphicFrame macro="">
      <xdr:nvGraphicFramePr>
        <xdr:cNvPr id="96" name="Chart 2">
          <a:extLst>
            <a:ext uri="{FF2B5EF4-FFF2-40B4-BE49-F238E27FC236}">
              <a16:creationId xmlns:a16="http://schemas.microsoft.com/office/drawing/2014/main" id="{67FD5703-17E2-E4D2-C0E2-9CECABF2C378}"/>
            </a:ext>
            <a:ext uri="{147F2762-F138-4A5C-976F-8EAC2B608ADB}">
              <a16:predDERef xmlns:a16="http://schemas.microsoft.com/office/drawing/2014/main" pred="{7BFA63BC-1265-D431-BABA-A904C25F3C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26</xdr:col>
      <xdr:colOff>590550</xdr:colOff>
      <xdr:row>74</xdr:row>
      <xdr:rowOff>152400</xdr:rowOff>
    </xdr:from>
    <xdr:to>
      <xdr:col>33</xdr:col>
      <xdr:colOff>95250</xdr:colOff>
      <xdr:row>90</xdr:row>
      <xdr:rowOff>0</xdr:rowOff>
    </xdr:to>
    <xdr:graphicFrame macro="">
      <xdr:nvGraphicFramePr>
        <xdr:cNvPr id="114" name="Gráfico 4">
          <a:extLst>
            <a:ext uri="{FF2B5EF4-FFF2-40B4-BE49-F238E27FC236}">
              <a16:creationId xmlns:a16="http://schemas.microsoft.com/office/drawing/2014/main" id="{5E70A909-3CAD-3F09-5207-4B95451445D3}"/>
            </a:ext>
            <a:ext uri="{147F2762-F138-4A5C-976F-8EAC2B608ADB}">
              <a16:predDERef xmlns:a16="http://schemas.microsoft.com/office/drawing/2014/main" pred="{67FD5703-17E2-E4D2-C0E2-9CECABF2C3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514350</xdr:colOff>
      <xdr:row>98</xdr:row>
      <xdr:rowOff>85725</xdr:rowOff>
    </xdr:from>
    <xdr:to>
      <xdr:col>33</xdr:col>
      <xdr:colOff>687484</xdr:colOff>
      <xdr:row>120</xdr:row>
      <xdr:rowOff>146240</xdr:rowOff>
    </xdr:to>
    <xdr:graphicFrame macro="">
      <xdr:nvGraphicFramePr>
        <xdr:cNvPr id="41" name="Gráfico 2">
          <a:extLst>
            <a:ext uri="{FF2B5EF4-FFF2-40B4-BE49-F238E27FC236}">
              <a16:creationId xmlns:a16="http://schemas.microsoft.com/office/drawing/2014/main" id="{C413D3CF-7985-4959-A308-6205ACECAC45}"/>
            </a:ext>
            <a:ext uri="{147F2762-F138-4A5C-976F-8EAC2B608ADB}">
              <a16:predDERef xmlns:a16="http://schemas.microsoft.com/office/drawing/2014/main" pred="{5E70A909-3CAD-3F09-5207-4B95451445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261569</xdr:colOff>
      <xdr:row>124</xdr:row>
      <xdr:rowOff>101970</xdr:rowOff>
    </xdr:from>
    <xdr:to>
      <xdr:col>22</xdr:col>
      <xdr:colOff>59346</xdr:colOff>
      <xdr:row>147</xdr:row>
      <xdr:rowOff>2949</xdr:rowOff>
    </xdr:to>
    <xdr:graphicFrame macro="">
      <xdr:nvGraphicFramePr>
        <xdr:cNvPr id="97" name="Chart 41">
          <a:extLst>
            <a:ext uri="{FF2B5EF4-FFF2-40B4-BE49-F238E27FC236}">
              <a16:creationId xmlns:a16="http://schemas.microsoft.com/office/drawing/2014/main" id="{734FBE18-11B4-EA11-B4EB-6EB494E8BBF8}"/>
            </a:ext>
            <a:ext uri="{147F2762-F138-4A5C-976F-8EAC2B608ADB}">
              <a16:predDERef xmlns:a16="http://schemas.microsoft.com/office/drawing/2014/main" pred="{C413D3CF-7985-4959-A308-6205ACECA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0.43221</cdr:x>
      <cdr:y>0.40421</cdr:y>
    </cdr:from>
    <cdr:to>
      <cdr:x>0.56779</cdr:x>
      <cdr:y>0.59579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7DD0F96-72CF-6BAE-8D0A-51DCB5356ACA}"/>
            </a:ext>
          </a:extLst>
        </cdr:cNvPr>
        <cdr:cNvSpPr txBox="1"/>
      </cdr:nvSpPr>
      <cdr:spPr>
        <a:xfrm xmlns:a="http://schemas.openxmlformats.org/drawingml/2006/main">
          <a:off x="2915031" y="192925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</c:userShap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50"/>
  <sheetViews>
    <sheetView tabSelected="1" topLeftCell="A58" zoomScale="108" zoomScaleNormal="117" workbookViewId="0">
      <selection activeCell="K85" sqref="K85"/>
    </sheetView>
  </sheetViews>
  <sheetFormatPr defaultColWidth="10.85546875" defaultRowHeight="14.45"/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S1" t="s">
        <v>0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K1" t="s">
        <v>0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</row>
    <row r="2" spans="1:53">
      <c r="A2">
        <v>0</v>
      </c>
      <c r="B2">
        <v>0.19789999999999999</v>
      </c>
      <c r="C2">
        <v>1.9400000000000001E-2</v>
      </c>
      <c r="D2">
        <v>0.1973</v>
      </c>
      <c r="E2">
        <v>1.8700000000000001E-2</v>
      </c>
      <c r="F2">
        <v>0.19789999999999999</v>
      </c>
      <c r="G2">
        <v>1.8700000000000001E-2</v>
      </c>
      <c r="H2">
        <v>0.19739999999999999</v>
      </c>
      <c r="I2">
        <v>0.02</v>
      </c>
      <c r="J2">
        <v>0.1973</v>
      </c>
      <c r="K2">
        <v>1.8700000000000001E-2</v>
      </c>
      <c r="L2">
        <v>0.19689999999999999</v>
      </c>
      <c r="M2">
        <v>2.0299999999999999E-2</v>
      </c>
      <c r="N2">
        <v>0.19750000000000001</v>
      </c>
      <c r="O2">
        <v>2.1399999999999999E-2</v>
      </c>
      <c r="P2">
        <v>0.1976</v>
      </c>
      <c r="Q2">
        <v>1.8499999999999999E-2</v>
      </c>
      <c r="S2">
        <v>0</v>
      </c>
      <c r="AK2">
        <v>0</v>
      </c>
    </row>
    <row r="3" spans="1:53">
      <c r="A3">
        <v>6.0000000000000001E-3</v>
      </c>
      <c r="B3">
        <v>0.19789999999999999</v>
      </c>
      <c r="C3">
        <v>1.9400000000000001E-2</v>
      </c>
      <c r="D3">
        <v>0.1973</v>
      </c>
      <c r="E3">
        <v>1.8700000000000001E-2</v>
      </c>
      <c r="F3">
        <v>0.19789999999999999</v>
      </c>
      <c r="G3">
        <v>1.8700000000000001E-2</v>
      </c>
      <c r="H3">
        <v>0.19739999999999999</v>
      </c>
      <c r="I3">
        <v>0.02</v>
      </c>
      <c r="J3">
        <v>0.1973</v>
      </c>
      <c r="K3">
        <v>1.8599999999999998E-2</v>
      </c>
      <c r="L3">
        <v>0.19689999999999999</v>
      </c>
      <c r="M3">
        <v>2.0299999999999999E-2</v>
      </c>
      <c r="N3">
        <v>0.19750000000000001</v>
      </c>
      <c r="O3">
        <v>2.1399999999999999E-2</v>
      </c>
      <c r="P3">
        <v>0.1976</v>
      </c>
      <c r="Q3">
        <v>1.8499999999999999E-2</v>
      </c>
      <c r="S3">
        <v>6.0000000000000001E-3</v>
      </c>
      <c r="AK3">
        <v>6.0000000000000001E-3</v>
      </c>
    </row>
    <row r="4" spans="1:53">
      <c r="A4">
        <v>1.2999999999999999E-2</v>
      </c>
      <c r="B4">
        <v>0.19789999999999999</v>
      </c>
      <c r="C4">
        <v>1.95E-2</v>
      </c>
      <c r="D4">
        <v>0.1973</v>
      </c>
      <c r="E4">
        <v>1.8700000000000001E-2</v>
      </c>
      <c r="F4">
        <v>0.19789999999999999</v>
      </c>
      <c r="G4">
        <v>1.8700000000000001E-2</v>
      </c>
      <c r="H4">
        <v>0.19739999999999999</v>
      </c>
      <c r="I4">
        <v>0.02</v>
      </c>
      <c r="J4">
        <v>0.1973</v>
      </c>
      <c r="K4">
        <v>1.8599999999999998E-2</v>
      </c>
      <c r="L4">
        <v>0.19689999999999999</v>
      </c>
      <c r="M4">
        <v>2.0299999999999999E-2</v>
      </c>
      <c r="N4">
        <v>0.19750000000000001</v>
      </c>
      <c r="O4">
        <v>2.1399999999999999E-2</v>
      </c>
      <c r="P4">
        <v>0.1976</v>
      </c>
      <c r="Q4">
        <v>1.8499999999999999E-2</v>
      </c>
      <c r="S4">
        <v>1.2999999999999999E-2</v>
      </c>
      <c r="T4">
        <v>1.4999999999999999E-2</v>
      </c>
      <c r="U4">
        <v>1.4999999999999999E-2</v>
      </c>
      <c r="V4">
        <v>0</v>
      </c>
      <c r="W4">
        <v>0</v>
      </c>
      <c r="X4">
        <v>1.4999999999999999E-2</v>
      </c>
      <c r="Y4">
        <v>1.0999999999999999E-2</v>
      </c>
      <c r="Z4">
        <v>7.0000000000000001E-3</v>
      </c>
      <c r="AA4">
        <v>1.0999999999999999E-2</v>
      </c>
      <c r="AB4">
        <v>1.4999999999999999E-2</v>
      </c>
      <c r="AC4">
        <v>1.0999999999999999E-2</v>
      </c>
      <c r="AD4">
        <v>2.1999999999999999E-2</v>
      </c>
      <c r="AE4">
        <v>2.1999999999999999E-2</v>
      </c>
      <c r="AF4">
        <v>1.0999999999999999E-2</v>
      </c>
      <c r="AG4">
        <v>7.0000000000000001E-3</v>
      </c>
      <c r="AH4">
        <v>7.0000000000000001E-3</v>
      </c>
      <c r="AI4">
        <v>7.0000000000000001E-3</v>
      </c>
      <c r="AK4">
        <v>1.2999999999999999E-2</v>
      </c>
    </row>
    <row r="5" spans="1:53">
      <c r="A5">
        <v>1.9E-2</v>
      </c>
      <c r="B5">
        <v>0.19800000000000001</v>
      </c>
      <c r="C5">
        <v>1.95E-2</v>
      </c>
      <c r="D5">
        <v>0.1973</v>
      </c>
      <c r="E5">
        <v>1.8700000000000001E-2</v>
      </c>
      <c r="F5">
        <v>0.19789999999999999</v>
      </c>
      <c r="G5">
        <v>1.8700000000000001E-2</v>
      </c>
      <c r="H5">
        <v>0.19739999999999999</v>
      </c>
      <c r="I5">
        <v>0.02</v>
      </c>
      <c r="J5">
        <v>0.1973</v>
      </c>
      <c r="K5">
        <v>1.8700000000000001E-2</v>
      </c>
      <c r="L5">
        <v>0.1971</v>
      </c>
      <c r="M5">
        <v>2.0400000000000001E-2</v>
      </c>
      <c r="N5">
        <v>0.1976</v>
      </c>
      <c r="O5">
        <v>2.1399999999999999E-2</v>
      </c>
      <c r="P5">
        <v>0.1976</v>
      </c>
      <c r="Q5">
        <v>1.8499999999999999E-2</v>
      </c>
      <c r="S5">
        <v>1.9E-2</v>
      </c>
      <c r="T5">
        <v>0.04</v>
      </c>
      <c r="U5">
        <v>0.04</v>
      </c>
      <c r="V5">
        <v>4.0000000000000001E-3</v>
      </c>
      <c r="W5">
        <v>4.0000000000000001E-3</v>
      </c>
      <c r="X5">
        <v>3.6999999999999998E-2</v>
      </c>
      <c r="Y5">
        <v>3.3000000000000002E-2</v>
      </c>
      <c r="Z5">
        <v>2.9000000000000001E-2</v>
      </c>
      <c r="AA5">
        <v>2.9000000000000001E-2</v>
      </c>
      <c r="AB5">
        <v>0.04</v>
      </c>
      <c r="AC5">
        <v>4.3999999999999997E-2</v>
      </c>
      <c r="AD5">
        <v>5.0999999999999997E-2</v>
      </c>
      <c r="AE5">
        <v>4.8000000000000001E-2</v>
      </c>
      <c r="AF5">
        <v>3.6999999999999998E-2</v>
      </c>
      <c r="AG5">
        <v>3.3000000000000002E-2</v>
      </c>
      <c r="AH5">
        <v>2.9000000000000001E-2</v>
      </c>
      <c r="AI5">
        <v>2.9000000000000001E-2</v>
      </c>
      <c r="AK5">
        <v>1.9E-2</v>
      </c>
    </row>
    <row r="6" spans="1:53">
      <c r="A6">
        <v>2.5000000000000001E-2</v>
      </c>
      <c r="B6">
        <v>0.1983</v>
      </c>
      <c r="C6">
        <v>1.9800000000000002E-2</v>
      </c>
      <c r="D6">
        <v>0.1973</v>
      </c>
      <c r="E6">
        <v>1.8700000000000001E-2</v>
      </c>
      <c r="F6">
        <v>0.1983</v>
      </c>
      <c r="G6">
        <v>1.9E-2</v>
      </c>
      <c r="H6">
        <v>0.1976</v>
      </c>
      <c r="I6">
        <v>2.0299999999999999E-2</v>
      </c>
      <c r="J6">
        <v>0.19769999999999999</v>
      </c>
      <c r="K6">
        <v>1.9E-2</v>
      </c>
      <c r="L6">
        <v>0.19739999999999999</v>
      </c>
      <c r="M6">
        <v>2.0799999999999999E-2</v>
      </c>
      <c r="N6">
        <v>0.1978</v>
      </c>
      <c r="O6">
        <v>2.1600000000000001E-2</v>
      </c>
      <c r="P6">
        <v>0.1978</v>
      </c>
      <c r="Q6">
        <v>1.8700000000000001E-2</v>
      </c>
      <c r="S6">
        <v>2.5000000000000001E-2</v>
      </c>
      <c r="T6">
        <v>8.1000000000000003E-2</v>
      </c>
      <c r="U6">
        <v>7.2999999999999995E-2</v>
      </c>
      <c r="V6">
        <v>2.1999999999999999E-2</v>
      </c>
      <c r="W6">
        <v>2.1999999999999999E-2</v>
      </c>
      <c r="X6">
        <v>7.2999999999999995E-2</v>
      </c>
      <c r="Y6">
        <v>6.6000000000000003E-2</v>
      </c>
      <c r="Z6">
        <v>6.6000000000000003E-2</v>
      </c>
      <c r="AA6">
        <v>6.2E-2</v>
      </c>
      <c r="AB6">
        <v>8.1000000000000003E-2</v>
      </c>
      <c r="AC6">
        <v>8.1000000000000003E-2</v>
      </c>
      <c r="AD6">
        <v>9.5000000000000001E-2</v>
      </c>
      <c r="AE6">
        <v>8.7999999999999995E-2</v>
      </c>
      <c r="AF6">
        <v>7.2999999999999995E-2</v>
      </c>
      <c r="AG6">
        <v>7.0000000000000007E-2</v>
      </c>
      <c r="AH6">
        <v>6.2E-2</v>
      </c>
      <c r="AI6">
        <v>5.8999999999999997E-2</v>
      </c>
      <c r="AK6">
        <v>2.5000000000000001E-2</v>
      </c>
      <c r="AL6">
        <v>6.7460000000000004</v>
      </c>
      <c r="AM6">
        <v>6.5990000000000002</v>
      </c>
      <c r="AN6">
        <v>4.1059999999999999</v>
      </c>
      <c r="AO6">
        <v>4.1059999999999999</v>
      </c>
      <c r="AP6">
        <v>6.4530000000000003</v>
      </c>
      <c r="AQ6">
        <v>6.306</v>
      </c>
      <c r="AR6">
        <v>6.4530000000000003</v>
      </c>
      <c r="AS6">
        <v>6.0129999999999999</v>
      </c>
      <c r="AT6">
        <v>7.0389999999999997</v>
      </c>
      <c r="AU6">
        <v>7.0389999999999997</v>
      </c>
      <c r="AV6">
        <v>7.0389999999999997</v>
      </c>
      <c r="AW6">
        <v>6.7460000000000004</v>
      </c>
      <c r="AX6">
        <v>6.5990000000000002</v>
      </c>
      <c r="AY6">
        <v>6.7460000000000004</v>
      </c>
      <c r="AZ6">
        <v>6.306</v>
      </c>
      <c r="BA6">
        <v>6.1589999999999998</v>
      </c>
    </row>
    <row r="7" spans="1:53">
      <c r="A7">
        <v>3.1E-2</v>
      </c>
      <c r="B7">
        <v>0.19889999999999999</v>
      </c>
      <c r="C7">
        <v>2.0400000000000001E-2</v>
      </c>
      <c r="D7">
        <v>0.19739999999999999</v>
      </c>
      <c r="E7">
        <v>1.8800000000000001E-2</v>
      </c>
      <c r="F7">
        <v>0.1988</v>
      </c>
      <c r="G7">
        <v>1.95E-2</v>
      </c>
      <c r="H7">
        <v>0.19819999999999999</v>
      </c>
      <c r="I7">
        <v>2.07E-2</v>
      </c>
      <c r="J7">
        <v>0.19839999999999999</v>
      </c>
      <c r="K7">
        <v>1.9699999999999999E-2</v>
      </c>
      <c r="L7">
        <v>0.19819999999999999</v>
      </c>
      <c r="M7">
        <v>2.1399999999999999E-2</v>
      </c>
      <c r="N7">
        <v>0.19839999999999999</v>
      </c>
      <c r="O7">
        <v>2.2200000000000001E-2</v>
      </c>
      <c r="P7">
        <v>0.19839999999999999</v>
      </c>
      <c r="Q7">
        <v>1.9199999999999998E-2</v>
      </c>
      <c r="S7">
        <v>3.1E-2</v>
      </c>
      <c r="T7">
        <v>0.128</v>
      </c>
      <c r="U7">
        <v>0.128</v>
      </c>
      <c r="V7">
        <v>5.8999999999999997E-2</v>
      </c>
      <c r="W7">
        <v>5.5E-2</v>
      </c>
      <c r="X7">
        <v>0.125</v>
      </c>
      <c r="Y7">
        <v>0.11700000000000001</v>
      </c>
      <c r="Z7">
        <v>0.11</v>
      </c>
      <c r="AA7">
        <v>0.11</v>
      </c>
      <c r="AB7">
        <v>0.13600000000000001</v>
      </c>
      <c r="AC7">
        <v>0.13200000000000001</v>
      </c>
      <c r="AD7">
        <v>0.14699999999999999</v>
      </c>
      <c r="AE7">
        <v>0.13900000000000001</v>
      </c>
      <c r="AF7">
        <v>0.121</v>
      </c>
      <c r="AG7">
        <v>0.11700000000000001</v>
      </c>
      <c r="AH7">
        <v>0.11</v>
      </c>
      <c r="AI7">
        <v>0.11</v>
      </c>
      <c r="AK7">
        <v>3.1E-2</v>
      </c>
      <c r="AL7">
        <v>7.9189999999999996</v>
      </c>
      <c r="AM7">
        <v>7.6260000000000003</v>
      </c>
      <c r="AN7">
        <v>6.306</v>
      </c>
      <c r="AO7">
        <v>6.1589999999999998</v>
      </c>
      <c r="AP7">
        <v>7.9189999999999996</v>
      </c>
      <c r="AQ7">
        <v>7.6260000000000003</v>
      </c>
      <c r="AR7">
        <v>7.6260000000000003</v>
      </c>
      <c r="AS7">
        <v>7.4790000000000001</v>
      </c>
      <c r="AT7">
        <v>8.2129999999999992</v>
      </c>
      <c r="AU7">
        <v>7.6260000000000003</v>
      </c>
      <c r="AV7">
        <v>8.2129999999999992</v>
      </c>
      <c r="AW7">
        <v>7.9189999999999996</v>
      </c>
      <c r="AX7">
        <v>7.7729999999999997</v>
      </c>
      <c r="AY7">
        <v>7.7729999999999997</v>
      </c>
      <c r="AZ7">
        <v>7.6260000000000003</v>
      </c>
      <c r="BA7">
        <v>7.3330000000000002</v>
      </c>
    </row>
    <row r="8" spans="1:53">
      <c r="A8">
        <v>3.7999999999999999E-2</v>
      </c>
      <c r="B8">
        <v>0.19989999999999999</v>
      </c>
      <c r="C8">
        <v>2.1399999999999999E-2</v>
      </c>
      <c r="D8">
        <v>0.19789999999999999</v>
      </c>
      <c r="E8">
        <v>1.9199999999999998E-2</v>
      </c>
      <c r="F8">
        <v>0.19969999999999999</v>
      </c>
      <c r="G8">
        <v>2.0299999999999999E-2</v>
      </c>
      <c r="H8">
        <v>0.1991</v>
      </c>
      <c r="I8">
        <v>2.1499999999999998E-2</v>
      </c>
      <c r="J8">
        <v>0.19939999999999999</v>
      </c>
      <c r="K8">
        <v>2.06E-2</v>
      </c>
      <c r="L8">
        <v>0.1993</v>
      </c>
      <c r="M8">
        <v>2.2499999999999999E-2</v>
      </c>
      <c r="N8">
        <v>0.19939999999999999</v>
      </c>
      <c r="O8">
        <v>2.3099999999999999E-2</v>
      </c>
      <c r="P8">
        <v>0.19919999999999999</v>
      </c>
      <c r="Q8">
        <v>0.02</v>
      </c>
      <c r="S8">
        <v>3.7999999999999999E-2</v>
      </c>
      <c r="T8">
        <v>0.183</v>
      </c>
      <c r="U8">
        <v>0.18</v>
      </c>
      <c r="V8">
        <v>0.10299999999999999</v>
      </c>
      <c r="W8">
        <v>0.10299999999999999</v>
      </c>
      <c r="X8">
        <v>0.17599999999999999</v>
      </c>
      <c r="Y8">
        <v>0.16900000000000001</v>
      </c>
      <c r="Z8">
        <v>0.16900000000000001</v>
      </c>
      <c r="AA8">
        <v>0.161</v>
      </c>
      <c r="AB8">
        <v>0.191</v>
      </c>
      <c r="AC8">
        <v>0.187</v>
      </c>
      <c r="AD8">
        <v>0.19800000000000001</v>
      </c>
      <c r="AE8">
        <v>0.191</v>
      </c>
      <c r="AF8">
        <v>0.17599999999999999</v>
      </c>
      <c r="AG8">
        <v>0.17599999999999999</v>
      </c>
      <c r="AH8">
        <v>0.16500000000000001</v>
      </c>
      <c r="AI8">
        <v>0.161</v>
      </c>
      <c r="AK8">
        <v>3.7999999999999999E-2</v>
      </c>
      <c r="AL8">
        <v>8.5060000000000002</v>
      </c>
      <c r="AM8">
        <v>8.6530000000000005</v>
      </c>
      <c r="AN8">
        <v>7.9189999999999996</v>
      </c>
      <c r="AO8">
        <v>7.6260000000000003</v>
      </c>
      <c r="AP8">
        <v>8.5060000000000002</v>
      </c>
      <c r="AQ8">
        <v>8.5060000000000002</v>
      </c>
      <c r="AR8">
        <v>8.2129999999999992</v>
      </c>
      <c r="AS8">
        <v>8.359</v>
      </c>
      <c r="AT8">
        <v>8.7989999999999995</v>
      </c>
      <c r="AU8">
        <v>8.5060000000000002</v>
      </c>
      <c r="AV8">
        <v>8.5060000000000002</v>
      </c>
      <c r="AW8">
        <v>8.5060000000000002</v>
      </c>
      <c r="AX8">
        <v>8.359</v>
      </c>
      <c r="AY8">
        <v>8.6530000000000005</v>
      </c>
      <c r="AZ8">
        <v>8.6530000000000005</v>
      </c>
      <c r="BA8">
        <v>8.5060000000000002</v>
      </c>
    </row>
    <row r="9" spans="1:53">
      <c r="A9">
        <v>4.3999999999999997E-2</v>
      </c>
      <c r="B9">
        <v>0.20119999999999999</v>
      </c>
      <c r="C9">
        <v>2.2700000000000001E-2</v>
      </c>
      <c r="D9">
        <v>0.1988</v>
      </c>
      <c r="E9">
        <v>2.01E-2</v>
      </c>
      <c r="F9">
        <v>0.20100000000000001</v>
      </c>
      <c r="G9">
        <v>2.1600000000000001E-2</v>
      </c>
      <c r="H9">
        <v>0.20019999999999999</v>
      </c>
      <c r="I9">
        <v>2.2700000000000001E-2</v>
      </c>
      <c r="J9">
        <v>0.20069999999999999</v>
      </c>
      <c r="K9">
        <v>2.1999999999999999E-2</v>
      </c>
      <c r="L9">
        <v>0.20069999999999999</v>
      </c>
      <c r="M9">
        <v>2.3900000000000001E-2</v>
      </c>
      <c r="N9">
        <v>0.2006</v>
      </c>
      <c r="O9">
        <v>2.4400000000000002E-2</v>
      </c>
      <c r="P9">
        <v>0.20039999999999999</v>
      </c>
      <c r="Q9">
        <v>2.1299999999999999E-2</v>
      </c>
      <c r="S9">
        <v>4.3999999999999997E-2</v>
      </c>
      <c r="T9">
        <v>0.23799999999999999</v>
      </c>
      <c r="U9">
        <v>0.23100000000000001</v>
      </c>
      <c r="V9">
        <v>0.161</v>
      </c>
      <c r="W9">
        <v>0.158</v>
      </c>
      <c r="X9">
        <v>0.23499999999999999</v>
      </c>
      <c r="Y9">
        <v>0.224</v>
      </c>
      <c r="Z9">
        <v>0.22</v>
      </c>
      <c r="AA9">
        <v>0.216</v>
      </c>
      <c r="AB9">
        <v>0.246</v>
      </c>
      <c r="AC9">
        <v>0.23499999999999999</v>
      </c>
      <c r="AD9">
        <v>0.25700000000000001</v>
      </c>
      <c r="AE9">
        <v>0.246</v>
      </c>
      <c r="AF9">
        <v>0.23100000000000001</v>
      </c>
      <c r="AG9">
        <v>0.22700000000000001</v>
      </c>
      <c r="AH9">
        <v>0.22</v>
      </c>
      <c r="AI9">
        <v>0.21299999999999999</v>
      </c>
      <c r="AK9">
        <v>4.3999999999999997E-2</v>
      </c>
      <c r="AL9">
        <v>8.6530000000000005</v>
      </c>
      <c r="AM9">
        <v>8.359</v>
      </c>
      <c r="AN9">
        <v>8.5060000000000002</v>
      </c>
      <c r="AO9">
        <v>8.5060000000000002</v>
      </c>
      <c r="AP9">
        <v>8.7989999999999995</v>
      </c>
      <c r="AQ9">
        <v>8.5060000000000002</v>
      </c>
      <c r="AR9">
        <v>8.7989999999999995</v>
      </c>
      <c r="AS9">
        <v>8.5060000000000002</v>
      </c>
      <c r="AT9">
        <v>8.7989999999999995</v>
      </c>
      <c r="AU9">
        <v>8.5060000000000002</v>
      </c>
      <c r="AV9">
        <v>8.5060000000000002</v>
      </c>
      <c r="AW9">
        <v>8.5060000000000002</v>
      </c>
      <c r="AX9">
        <v>8.6530000000000005</v>
      </c>
      <c r="AY9">
        <v>8.7989999999999995</v>
      </c>
      <c r="AZ9">
        <v>8.9459999999999997</v>
      </c>
      <c r="BA9">
        <v>8.5060000000000002</v>
      </c>
    </row>
    <row r="10" spans="1:53">
      <c r="A10">
        <v>0.05</v>
      </c>
      <c r="B10">
        <v>0.20280000000000001</v>
      </c>
      <c r="C10">
        <v>2.4299999999999999E-2</v>
      </c>
      <c r="D10">
        <v>0.19989999999999999</v>
      </c>
      <c r="E10">
        <v>2.1299999999999999E-2</v>
      </c>
      <c r="F10">
        <v>0.20269999999999999</v>
      </c>
      <c r="G10">
        <v>2.3199999999999998E-2</v>
      </c>
      <c r="H10">
        <v>0.20180000000000001</v>
      </c>
      <c r="I10">
        <v>2.4299999999999999E-2</v>
      </c>
      <c r="J10">
        <v>0.20250000000000001</v>
      </c>
      <c r="K10">
        <v>2.3599999999999999E-2</v>
      </c>
      <c r="L10">
        <v>0.2024</v>
      </c>
      <c r="M10">
        <v>2.5600000000000001E-2</v>
      </c>
      <c r="N10">
        <v>0.20219999999999999</v>
      </c>
      <c r="O10">
        <v>2.5999999999999999E-2</v>
      </c>
      <c r="P10">
        <v>0.2019</v>
      </c>
      <c r="Q10">
        <v>2.2700000000000001E-2</v>
      </c>
      <c r="S10">
        <v>0.05</v>
      </c>
      <c r="T10">
        <v>0.29299999999999998</v>
      </c>
      <c r="U10">
        <v>0.28999999999999998</v>
      </c>
      <c r="V10">
        <v>0.22</v>
      </c>
      <c r="W10">
        <v>0.21299999999999999</v>
      </c>
      <c r="X10">
        <v>0.28599999999999998</v>
      </c>
      <c r="Y10">
        <v>0.27900000000000003</v>
      </c>
      <c r="Z10">
        <v>0.27100000000000002</v>
      </c>
      <c r="AA10">
        <v>0.27100000000000002</v>
      </c>
      <c r="AB10">
        <v>0.30099999999999999</v>
      </c>
      <c r="AC10">
        <v>0.29299999999999998</v>
      </c>
      <c r="AD10">
        <v>0.308</v>
      </c>
      <c r="AE10">
        <v>0.30099999999999999</v>
      </c>
      <c r="AF10">
        <v>0.28199999999999997</v>
      </c>
      <c r="AG10">
        <v>0.28599999999999998</v>
      </c>
      <c r="AH10">
        <v>0.27900000000000003</v>
      </c>
      <c r="AI10">
        <v>0.27100000000000002</v>
      </c>
      <c r="AK10">
        <v>0.05</v>
      </c>
      <c r="AL10">
        <v>8.7989999999999995</v>
      </c>
      <c r="AM10">
        <v>8.6530000000000005</v>
      </c>
      <c r="AN10">
        <v>9.093</v>
      </c>
      <c r="AO10">
        <v>8.5060000000000002</v>
      </c>
      <c r="AP10">
        <v>8.7989999999999995</v>
      </c>
      <c r="AQ10">
        <v>8.9459999999999997</v>
      </c>
      <c r="AR10">
        <v>8.5060000000000002</v>
      </c>
      <c r="AS10">
        <v>8.6530000000000005</v>
      </c>
      <c r="AT10">
        <v>8.7989999999999995</v>
      </c>
      <c r="AU10">
        <v>8.359</v>
      </c>
      <c r="AV10">
        <v>8.7989999999999995</v>
      </c>
      <c r="AW10">
        <v>8.6530000000000005</v>
      </c>
      <c r="AX10">
        <v>8.6530000000000005</v>
      </c>
      <c r="AY10">
        <v>8.5060000000000002</v>
      </c>
      <c r="AZ10">
        <v>8.9459999999999997</v>
      </c>
      <c r="BA10">
        <v>8.7989999999999995</v>
      </c>
    </row>
    <row r="11" spans="1:53">
      <c r="A11">
        <v>5.6000000000000001E-2</v>
      </c>
      <c r="B11">
        <v>0.2049</v>
      </c>
      <c r="C11">
        <v>2.6200000000000001E-2</v>
      </c>
      <c r="D11">
        <v>0.20150000000000001</v>
      </c>
      <c r="E11">
        <v>2.2700000000000001E-2</v>
      </c>
      <c r="F11">
        <v>0.20469999999999999</v>
      </c>
      <c r="G11">
        <v>2.5100000000000001E-2</v>
      </c>
      <c r="H11">
        <v>0.20369999999999999</v>
      </c>
      <c r="I11">
        <v>2.6100000000000002E-2</v>
      </c>
      <c r="J11">
        <v>0.20449999999999999</v>
      </c>
      <c r="K11">
        <v>2.5600000000000001E-2</v>
      </c>
      <c r="L11">
        <v>0.2046</v>
      </c>
      <c r="M11">
        <v>2.76E-2</v>
      </c>
      <c r="N11">
        <v>0.20419999999999999</v>
      </c>
      <c r="O11">
        <v>2.7900000000000001E-2</v>
      </c>
      <c r="P11">
        <v>0.20380000000000001</v>
      </c>
      <c r="Q11">
        <v>2.46E-2</v>
      </c>
      <c r="S11">
        <v>5.6000000000000001E-2</v>
      </c>
      <c r="T11">
        <v>0.34499999999999997</v>
      </c>
      <c r="U11">
        <v>0.33700000000000002</v>
      </c>
      <c r="V11">
        <v>0.27100000000000002</v>
      </c>
      <c r="W11">
        <v>0.26800000000000002</v>
      </c>
      <c r="X11">
        <v>0.34499999999999997</v>
      </c>
      <c r="Y11">
        <v>0.33</v>
      </c>
      <c r="Z11">
        <v>0.33</v>
      </c>
      <c r="AA11">
        <v>0.32300000000000001</v>
      </c>
      <c r="AB11">
        <v>0.35599999999999998</v>
      </c>
      <c r="AC11">
        <v>0.34499999999999997</v>
      </c>
      <c r="AD11">
        <v>0.35899999999999999</v>
      </c>
      <c r="AE11">
        <v>0.35199999999999998</v>
      </c>
      <c r="AF11">
        <v>0.33700000000000002</v>
      </c>
      <c r="AG11">
        <v>0.33700000000000002</v>
      </c>
      <c r="AH11">
        <v>0.33400000000000002</v>
      </c>
      <c r="AI11">
        <v>0.32300000000000001</v>
      </c>
      <c r="AK11">
        <v>5.6000000000000001E-2</v>
      </c>
      <c r="AL11">
        <v>8.6530000000000005</v>
      </c>
      <c r="AM11">
        <v>8.9459999999999997</v>
      </c>
      <c r="AN11">
        <v>8.7989999999999995</v>
      </c>
      <c r="AO11">
        <v>8.6530000000000005</v>
      </c>
      <c r="AP11">
        <v>8.6530000000000005</v>
      </c>
      <c r="AQ11">
        <v>8.7989999999999995</v>
      </c>
      <c r="AR11">
        <v>8.7989999999999995</v>
      </c>
      <c r="AS11">
        <v>8.7989999999999995</v>
      </c>
      <c r="AT11">
        <v>8.7989999999999995</v>
      </c>
      <c r="AU11">
        <v>8.9459999999999997</v>
      </c>
      <c r="AV11">
        <v>8.5060000000000002</v>
      </c>
      <c r="AW11">
        <v>8.7989999999999995</v>
      </c>
      <c r="AX11">
        <v>8.6530000000000005</v>
      </c>
      <c r="AY11">
        <v>8.7989999999999995</v>
      </c>
      <c r="AZ11">
        <v>8.9459999999999997</v>
      </c>
      <c r="BA11">
        <v>8.7989999999999995</v>
      </c>
    </row>
    <row r="12" spans="1:53">
      <c r="A12">
        <v>6.3E-2</v>
      </c>
      <c r="B12">
        <v>0.2072</v>
      </c>
      <c r="C12">
        <v>2.86E-2</v>
      </c>
      <c r="D12">
        <v>0.2034</v>
      </c>
      <c r="E12">
        <v>2.46E-2</v>
      </c>
      <c r="F12">
        <v>0.2069</v>
      </c>
      <c r="G12">
        <v>2.7300000000000001E-2</v>
      </c>
      <c r="H12">
        <v>0.2059</v>
      </c>
      <c r="I12">
        <v>2.8299999999999999E-2</v>
      </c>
      <c r="J12">
        <v>0.2069</v>
      </c>
      <c r="K12">
        <v>2.8000000000000001E-2</v>
      </c>
      <c r="L12">
        <v>0.20699999999999999</v>
      </c>
      <c r="M12">
        <v>0.03</v>
      </c>
      <c r="N12">
        <v>0.2064</v>
      </c>
      <c r="O12">
        <v>3.0200000000000001E-2</v>
      </c>
      <c r="P12">
        <v>0.20610000000000001</v>
      </c>
      <c r="Q12">
        <v>2.6800000000000001E-2</v>
      </c>
      <c r="S12">
        <v>6.3E-2</v>
      </c>
      <c r="T12">
        <v>0.40300000000000002</v>
      </c>
      <c r="U12">
        <v>0.39600000000000002</v>
      </c>
      <c r="V12">
        <v>0.33</v>
      </c>
      <c r="W12">
        <v>0.315</v>
      </c>
      <c r="X12">
        <v>0.39600000000000002</v>
      </c>
      <c r="Y12">
        <v>0.39200000000000002</v>
      </c>
      <c r="Z12">
        <v>0.38100000000000001</v>
      </c>
      <c r="AA12">
        <v>0.378</v>
      </c>
      <c r="AB12">
        <v>0.41099999999999998</v>
      </c>
      <c r="AC12">
        <v>0.39600000000000002</v>
      </c>
      <c r="AD12">
        <v>0.41799999999999998</v>
      </c>
      <c r="AE12">
        <v>0.40699999999999997</v>
      </c>
      <c r="AF12">
        <v>0.39200000000000002</v>
      </c>
      <c r="AG12">
        <v>0.38900000000000001</v>
      </c>
      <c r="AH12">
        <v>0.38900000000000001</v>
      </c>
      <c r="AI12">
        <v>0.38100000000000001</v>
      </c>
      <c r="AK12">
        <v>6.3E-2</v>
      </c>
      <c r="AL12">
        <v>8.5060000000000002</v>
      </c>
      <c r="AM12">
        <v>8.5060000000000002</v>
      </c>
      <c r="AN12">
        <v>8.5060000000000002</v>
      </c>
      <c r="AO12">
        <v>8.5060000000000002</v>
      </c>
      <c r="AP12">
        <v>9.093</v>
      </c>
      <c r="AQ12">
        <v>8.7989999999999995</v>
      </c>
      <c r="AR12">
        <v>8.9459999999999997</v>
      </c>
      <c r="AS12">
        <v>8.6530000000000005</v>
      </c>
      <c r="AT12">
        <v>8.7989999999999995</v>
      </c>
      <c r="AU12">
        <v>8.6530000000000005</v>
      </c>
      <c r="AV12">
        <v>8.5060000000000002</v>
      </c>
      <c r="AW12">
        <v>8.6530000000000005</v>
      </c>
      <c r="AX12">
        <v>8.7989999999999995</v>
      </c>
      <c r="AY12">
        <v>8.359</v>
      </c>
      <c r="AZ12">
        <v>8.7989999999999995</v>
      </c>
      <c r="BA12">
        <v>8.7989999999999995</v>
      </c>
    </row>
    <row r="13" spans="1:53">
      <c r="A13">
        <v>6.9000000000000006E-2</v>
      </c>
      <c r="B13">
        <v>0.20979999999999999</v>
      </c>
      <c r="C13">
        <v>3.1199999999999999E-2</v>
      </c>
      <c r="D13">
        <v>0.2056</v>
      </c>
      <c r="E13">
        <v>2.6800000000000001E-2</v>
      </c>
      <c r="F13">
        <v>0.20960000000000001</v>
      </c>
      <c r="G13">
        <v>2.9899999999999999E-2</v>
      </c>
      <c r="H13">
        <v>0.2084</v>
      </c>
      <c r="I13">
        <v>3.0800000000000001E-2</v>
      </c>
      <c r="J13">
        <v>0.20960000000000001</v>
      </c>
      <c r="K13">
        <v>3.0599999999999999E-2</v>
      </c>
      <c r="L13">
        <v>0.2097</v>
      </c>
      <c r="M13">
        <v>3.27E-2</v>
      </c>
      <c r="N13">
        <v>0.20910000000000001</v>
      </c>
      <c r="O13">
        <v>3.2800000000000003E-2</v>
      </c>
      <c r="P13">
        <v>0.2087</v>
      </c>
      <c r="Q13">
        <v>2.93E-2</v>
      </c>
      <c r="S13">
        <v>6.9000000000000006E-2</v>
      </c>
      <c r="T13">
        <v>0.45500000000000002</v>
      </c>
      <c r="U13">
        <v>0.45500000000000002</v>
      </c>
      <c r="V13">
        <v>0.38100000000000001</v>
      </c>
      <c r="W13">
        <v>0.374</v>
      </c>
      <c r="X13">
        <v>0.45100000000000001</v>
      </c>
      <c r="Y13">
        <v>0.44400000000000001</v>
      </c>
      <c r="Z13">
        <v>0.44</v>
      </c>
      <c r="AA13">
        <v>0.436</v>
      </c>
      <c r="AB13">
        <v>0.46600000000000003</v>
      </c>
      <c r="AC13">
        <v>0.45800000000000002</v>
      </c>
      <c r="AD13">
        <v>0.46899999999999997</v>
      </c>
      <c r="AE13">
        <v>0.46600000000000003</v>
      </c>
      <c r="AF13">
        <v>0.44700000000000001</v>
      </c>
      <c r="AG13">
        <v>0.44700000000000001</v>
      </c>
      <c r="AH13">
        <v>0.44400000000000001</v>
      </c>
      <c r="AI13">
        <v>0.433</v>
      </c>
      <c r="AK13">
        <v>6.9000000000000006E-2</v>
      </c>
      <c r="AL13">
        <v>9.093</v>
      </c>
      <c r="AM13">
        <v>8.9459999999999997</v>
      </c>
      <c r="AN13">
        <v>8.7989999999999995</v>
      </c>
      <c r="AO13">
        <v>8.359</v>
      </c>
      <c r="AP13">
        <v>8.7989999999999995</v>
      </c>
      <c r="AQ13">
        <v>9.093</v>
      </c>
      <c r="AR13">
        <v>8.7989999999999995</v>
      </c>
      <c r="AS13">
        <v>8.7989999999999995</v>
      </c>
      <c r="AT13">
        <v>8.9459999999999997</v>
      </c>
      <c r="AU13">
        <v>8.7989999999999995</v>
      </c>
      <c r="AV13">
        <v>8.7989999999999995</v>
      </c>
      <c r="AW13">
        <v>8.6530000000000005</v>
      </c>
      <c r="AX13">
        <v>8.7989999999999995</v>
      </c>
      <c r="AY13">
        <v>8.5060000000000002</v>
      </c>
      <c r="AZ13">
        <v>8.7989999999999995</v>
      </c>
      <c r="BA13">
        <v>8.7989999999999995</v>
      </c>
    </row>
    <row r="14" spans="1:53">
      <c r="A14">
        <v>7.4999999999999997E-2</v>
      </c>
      <c r="B14">
        <v>0.21290000000000001</v>
      </c>
      <c r="C14">
        <v>3.4200000000000001E-2</v>
      </c>
      <c r="D14">
        <v>0.2082</v>
      </c>
      <c r="E14">
        <v>2.9100000000000001E-2</v>
      </c>
      <c r="F14">
        <v>0.21260000000000001</v>
      </c>
      <c r="G14">
        <v>3.3000000000000002E-2</v>
      </c>
      <c r="H14">
        <v>0.2114</v>
      </c>
      <c r="I14">
        <v>3.3700000000000001E-2</v>
      </c>
      <c r="J14">
        <v>0.2127</v>
      </c>
      <c r="K14">
        <v>3.3500000000000002E-2</v>
      </c>
      <c r="L14">
        <v>0.21279999999999999</v>
      </c>
      <c r="M14">
        <v>3.5700000000000003E-2</v>
      </c>
      <c r="N14">
        <v>0.21199999999999999</v>
      </c>
      <c r="O14">
        <v>3.5700000000000003E-2</v>
      </c>
      <c r="P14">
        <v>0.21160000000000001</v>
      </c>
      <c r="Q14">
        <v>3.2300000000000002E-2</v>
      </c>
      <c r="S14">
        <v>7.4999999999999997E-2</v>
      </c>
      <c r="T14">
        <v>0.50600000000000001</v>
      </c>
      <c r="U14">
        <v>0.502</v>
      </c>
      <c r="V14">
        <v>0.433</v>
      </c>
      <c r="W14">
        <v>0.42499999999999999</v>
      </c>
      <c r="X14">
        <v>0.51300000000000001</v>
      </c>
      <c r="Y14">
        <v>0.499</v>
      </c>
      <c r="Z14">
        <v>0.495</v>
      </c>
      <c r="AA14">
        <v>0.48799999999999999</v>
      </c>
      <c r="AB14">
        <v>0.52100000000000002</v>
      </c>
      <c r="AC14">
        <v>0.51</v>
      </c>
      <c r="AD14">
        <v>0.52100000000000002</v>
      </c>
      <c r="AE14">
        <v>0.51700000000000002</v>
      </c>
      <c r="AF14">
        <v>0.502</v>
      </c>
      <c r="AG14">
        <v>0.495</v>
      </c>
      <c r="AH14">
        <v>0.499</v>
      </c>
      <c r="AI14">
        <v>0.49099999999999999</v>
      </c>
      <c r="AK14">
        <v>7.4999999999999997E-2</v>
      </c>
      <c r="AL14">
        <v>8.7989999999999995</v>
      </c>
      <c r="AM14">
        <v>8.7989999999999995</v>
      </c>
      <c r="AN14">
        <v>8.5060000000000002</v>
      </c>
      <c r="AO14">
        <v>8.9459999999999997</v>
      </c>
      <c r="AP14">
        <v>9.093</v>
      </c>
      <c r="AQ14">
        <v>8.5060000000000002</v>
      </c>
      <c r="AR14">
        <v>8.9459999999999997</v>
      </c>
      <c r="AS14">
        <v>8.7989999999999995</v>
      </c>
      <c r="AT14">
        <v>8.7989999999999995</v>
      </c>
      <c r="AU14">
        <v>9.093</v>
      </c>
      <c r="AV14">
        <v>8.5060000000000002</v>
      </c>
      <c r="AW14">
        <v>8.6530000000000005</v>
      </c>
      <c r="AX14">
        <v>8.7989999999999995</v>
      </c>
      <c r="AY14">
        <v>8.6530000000000005</v>
      </c>
      <c r="AZ14">
        <v>8.7989999999999995</v>
      </c>
      <c r="BA14">
        <v>8.6530000000000005</v>
      </c>
    </row>
    <row r="15" spans="1:53">
      <c r="A15">
        <v>8.1000000000000003E-2</v>
      </c>
      <c r="B15">
        <v>0.2162</v>
      </c>
      <c r="C15">
        <v>3.7600000000000001E-2</v>
      </c>
      <c r="D15">
        <v>0.21099999999999999</v>
      </c>
      <c r="E15">
        <v>3.2099999999999997E-2</v>
      </c>
      <c r="F15">
        <v>0.21590000000000001</v>
      </c>
      <c r="G15">
        <v>3.6200000000000003E-2</v>
      </c>
      <c r="H15">
        <v>0.2147</v>
      </c>
      <c r="I15">
        <v>3.6999999999999998E-2</v>
      </c>
      <c r="J15">
        <v>0.21609999999999999</v>
      </c>
      <c r="K15">
        <v>3.6999999999999998E-2</v>
      </c>
      <c r="L15">
        <v>0.21629999999999999</v>
      </c>
      <c r="M15">
        <v>3.9199999999999999E-2</v>
      </c>
      <c r="N15">
        <v>0.21540000000000001</v>
      </c>
      <c r="O15">
        <v>3.9E-2</v>
      </c>
      <c r="P15">
        <v>0.21490000000000001</v>
      </c>
      <c r="Q15">
        <v>3.5400000000000001E-2</v>
      </c>
      <c r="S15">
        <v>8.1000000000000003E-2</v>
      </c>
      <c r="T15">
        <v>0.57199999999999995</v>
      </c>
      <c r="U15">
        <v>0.56100000000000005</v>
      </c>
      <c r="V15">
        <v>0.49099999999999999</v>
      </c>
      <c r="W15">
        <v>0.47699999999999998</v>
      </c>
      <c r="X15">
        <v>0.56499999999999995</v>
      </c>
      <c r="Y15">
        <v>0.55700000000000005</v>
      </c>
      <c r="Z15">
        <v>0.55000000000000004</v>
      </c>
      <c r="AA15">
        <v>0.54300000000000004</v>
      </c>
      <c r="AB15">
        <v>0.57899999999999996</v>
      </c>
      <c r="AC15">
        <v>0.56499999999999995</v>
      </c>
      <c r="AD15">
        <v>0.57899999999999996</v>
      </c>
      <c r="AE15">
        <v>0.56799999999999995</v>
      </c>
      <c r="AF15">
        <v>0.55700000000000005</v>
      </c>
      <c r="AG15">
        <v>0.55000000000000004</v>
      </c>
      <c r="AH15">
        <v>0.55400000000000005</v>
      </c>
      <c r="AI15">
        <v>0.54300000000000004</v>
      </c>
      <c r="AK15">
        <v>8.1000000000000003E-2</v>
      </c>
      <c r="AL15">
        <v>8.9459999999999997</v>
      </c>
      <c r="AM15">
        <v>8.5060000000000002</v>
      </c>
      <c r="AN15">
        <v>8.9459999999999997</v>
      </c>
      <c r="AO15">
        <v>8.6530000000000005</v>
      </c>
      <c r="AP15">
        <v>9.093</v>
      </c>
      <c r="AQ15">
        <v>8.7989999999999995</v>
      </c>
      <c r="AR15">
        <v>8.6530000000000005</v>
      </c>
      <c r="AS15">
        <v>8.5060000000000002</v>
      </c>
      <c r="AT15">
        <v>8.9459999999999997</v>
      </c>
      <c r="AU15">
        <v>8.5060000000000002</v>
      </c>
      <c r="AV15">
        <v>8.6530000000000005</v>
      </c>
      <c r="AW15">
        <v>8.5060000000000002</v>
      </c>
      <c r="AX15">
        <v>8.6530000000000005</v>
      </c>
      <c r="AY15">
        <v>8.5060000000000002</v>
      </c>
      <c r="AZ15">
        <v>8.7989999999999995</v>
      </c>
      <c r="BA15">
        <v>8.9459999999999997</v>
      </c>
    </row>
    <row r="16" spans="1:53">
      <c r="A16">
        <v>8.7999999999999995E-2</v>
      </c>
      <c r="B16">
        <v>0.21990000000000001</v>
      </c>
      <c r="C16">
        <v>4.1200000000000001E-2</v>
      </c>
      <c r="D16">
        <v>0.2142</v>
      </c>
      <c r="E16">
        <v>3.5200000000000002E-2</v>
      </c>
      <c r="F16">
        <v>0.21970000000000001</v>
      </c>
      <c r="G16">
        <v>3.9800000000000002E-2</v>
      </c>
      <c r="H16">
        <v>0.21820000000000001</v>
      </c>
      <c r="I16">
        <v>4.0500000000000001E-2</v>
      </c>
      <c r="J16">
        <v>0.21990000000000001</v>
      </c>
      <c r="K16">
        <v>4.07E-2</v>
      </c>
      <c r="L16">
        <v>0.22</v>
      </c>
      <c r="M16">
        <v>4.2900000000000001E-2</v>
      </c>
      <c r="N16">
        <v>0.219</v>
      </c>
      <c r="O16">
        <v>4.2599999999999999E-2</v>
      </c>
      <c r="P16">
        <v>0.21859999999999999</v>
      </c>
      <c r="Q16">
        <v>3.9E-2</v>
      </c>
      <c r="S16">
        <v>8.7999999999999995E-2</v>
      </c>
      <c r="T16">
        <v>0.623</v>
      </c>
      <c r="U16">
        <v>0.61599999999999999</v>
      </c>
      <c r="V16">
        <v>0.54300000000000004</v>
      </c>
      <c r="W16">
        <v>0.53900000000000003</v>
      </c>
      <c r="X16">
        <v>0.623</v>
      </c>
      <c r="Y16">
        <v>0.60499999999999998</v>
      </c>
      <c r="Z16">
        <v>0.60499999999999998</v>
      </c>
      <c r="AA16">
        <v>0.59799999999999998</v>
      </c>
      <c r="AB16">
        <v>0.63100000000000001</v>
      </c>
      <c r="AC16">
        <v>0.623</v>
      </c>
      <c r="AD16">
        <v>0.63100000000000001</v>
      </c>
      <c r="AE16">
        <v>0.623</v>
      </c>
      <c r="AF16">
        <v>0.61199999999999999</v>
      </c>
      <c r="AG16">
        <v>0.60499999999999998</v>
      </c>
      <c r="AH16">
        <v>0.60899999999999999</v>
      </c>
      <c r="AI16">
        <v>0.59799999999999998</v>
      </c>
      <c r="AK16">
        <v>8.7999999999999995E-2</v>
      </c>
      <c r="AL16">
        <v>9.093</v>
      </c>
      <c r="AM16">
        <v>8.9459999999999997</v>
      </c>
      <c r="AN16">
        <v>9.093</v>
      </c>
      <c r="AO16">
        <v>8.9459999999999997</v>
      </c>
      <c r="AP16">
        <v>8.6530000000000005</v>
      </c>
      <c r="AQ16">
        <v>8.9459999999999997</v>
      </c>
      <c r="AR16">
        <v>8.6530000000000005</v>
      </c>
      <c r="AS16">
        <v>8.7989999999999995</v>
      </c>
      <c r="AT16">
        <v>8.9459999999999997</v>
      </c>
      <c r="AU16">
        <v>8.7989999999999995</v>
      </c>
      <c r="AV16">
        <v>8.9459999999999997</v>
      </c>
      <c r="AW16">
        <v>8.6530000000000005</v>
      </c>
      <c r="AX16">
        <v>8.6530000000000005</v>
      </c>
      <c r="AY16">
        <v>8.7989999999999995</v>
      </c>
      <c r="AZ16">
        <v>8.7989999999999995</v>
      </c>
      <c r="BA16">
        <v>8.6530000000000005</v>
      </c>
    </row>
    <row r="17" spans="1:53">
      <c r="A17">
        <v>9.4E-2</v>
      </c>
      <c r="B17">
        <v>0.22409999999999999</v>
      </c>
      <c r="C17">
        <v>4.5199999999999997E-2</v>
      </c>
      <c r="D17">
        <v>0.21790000000000001</v>
      </c>
      <c r="E17">
        <v>3.8699999999999998E-2</v>
      </c>
      <c r="F17">
        <v>0.22370000000000001</v>
      </c>
      <c r="G17">
        <v>4.3799999999999999E-2</v>
      </c>
      <c r="H17">
        <v>0.22220000000000001</v>
      </c>
      <c r="I17">
        <v>4.4400000000000002E-2</v>
      </c>
      <c r="J17">
        <v>0.22409999999999999</v>
      </c>
      <c r="K17">
        <v>4.4699999999999997E-2</v>
      </c>
      <c r="L17">
        <v>0.22420000000000001</v>
      </c>
      <c r="M17">
        <v>4.6899999999999997E-2</v>
      </c>
      <c r="N17">
        <v>0.223</v>
      </c>
      <c r="O17">
        <v>4.6600000000000003E-2</v>
      </c>
      <c r="P17">
        <v>0.2225</v>
      </c>
      <c r="Q17">
        <v>4.2900000000000001E-2</v>
      </c>
      <c r="S17">
        <v>9.4E-2</v>
      </c>
      <c r="T17">
        <v>0.67800000000000005</v>
      </c>
      <c r="U17">
        <v>0.66700000000000004</v>
      </c>
      <c r="V17">
        <v>0.60499999999999998</v>
      </c>
      <c r="W17">
        <v>0.59</v>
      </c>
      <c r="X17">
        <v>0.67800000000000005</v>
      </c>
      <c r="Y17">
        <v>0.66400000000000003</v>
      </c>
      <c r="Z17">
        <v>0.65600000000000003</v>
      </c>
      <c r="AA17">
        <v>0.64900000000000002</v>
      </c>
      <c r="AB17">
        <v>0.68899999999999995</v>
      </c>
      <c r="AC17">
        <v>0.67100000000000004</v>
      </c>
      <c r="AD17">
        <v>0.68600000000000005</v>
      </c>
      <c r="AE17">
        <v>0.67800000000000005</v>
      </c>
      <c r="AF17">
        <v>0.66400000000000003</v>
      </c>
      <c r="AG17">
        <v>0.66</v>
      </c>
      <c r="AH17">
        <v>0.66400000000000003</v>
      </c>
      <c r="AI17">
        <v>0.65600000000000003</v>
      </c>
      <c r="AK17">
        <v>9.4E-2</v>
      </c>
      <c r="AL17">
        <v>8.5060000000000002</v>
      </c>
      <c r="AM17">
        <v>8.6530000000000005</v>
      </c>
      <c r="AN17">
        <v>8.7989999999999995</v>
      </c>
      <c r="AO17">
        <v>8.9459999999999997</v>
      </c>
      <c r="AP17">
        <v>8.9459999999999997</v>
      </c>
      <c r="AQ17">
        <v>8.6530000000000005</v>
      </c>
      <c r="AR17">
        <v>8.6530000000000005</v>
      </c>
      <c r="AS17">
        <v>8.9459999999999997</v>
      </c>
      <c r="AT17">
        <v>8.6530000000000005</v>
      </c>
      <c r="AU17">
        <v>8.9459999999999997</v>
      </c>
      <c r="AV17">
        <v>8.6530000000000005</v>
      </c>
      <c r="AW17">
        <v>8.9459999999999997</v>
      </c>
      <c r="AX17">
        <v>8.6530000000000005</v>
      </c>
      <c r="AY17">
        <v>8.7989999999999995</v>
      </c>
      <c r="AZ17">
        <v>8.9459999999999997</v>
      </c>
      <c r="BA17">
        <v>8.9459999999999997</v>
      </c>
    </row>
    <row r="18" spans="1:53">
      <c r="A18">
        <v>0.1</v>
      </c>
      <c r="B18">
        <v>0.22850000000000001</v>
      </c>
      <c r="C18">
        <v>4.9599999999999998E-2</v>
      </c>
      <c r="D18">
        <v>0.22170000000000001</v>
      </c>
      <c r="E18">
        <v>4.2599999999999999E-2</v>
      </c>
      <c r="F18">
        <v>0.2281</v>
      </c>
      <c r="G18">
        <v>4.8099999999999997E-2</v>
      </c>
      <c r="H18">
        <v>0.22650000000000001</v>
      </c>
      <c r="I18">
        <v>4.87E-2</v>
      </c>
      <c r="J18">
        <v>0.22850000000000001</v>
      </c>
      <c r="K18">
        <v>4.9099999999999998E-2</v>
      </c>
      <c r="L18">
        <v>0.2286</v>
      </c>
      <c r="M18">
        <v>5.1299999999999998E-2</v>
      </c>
      <c r="N18">
        <v>0.2273</v>
      </c>
      <c r="O18">
        <v>5.0900000000000001E-2</v>
      </c>
      <c r="P18">
        <v>0.22689999999999999</v>
      </c>
      <c r="Q18">
        <v>4.7199999999999999E-2</v>
      </c>
      <c r="S18">
        <v>0.1</v>
      </c>
      <c r="T18">
        <v>0.73299999999999998</v>
      </c>
      <c r="U18">
        <v>0.72599999999999998</v>
      </c>
      <c r="V18">
        <v>0.66</v>
      </c>
      <c r="W18">
        <v>0.64900000000000002</v>
      </c>
      <c r="X18">
        <v>0.73</v>
      </c>
      <c r="Y18">
        <v>0.72199999999999998</v>
      </c>
      <c r="Z18">
        <v>0.71099999999999997</v>
      </c>
      <c r="AA18">
        <v>0.70799999999999996</v>
      </c>
      <c r="AB18">
        <v>0.74399999999999999</v>
      </c>
      <c r="AC18">
        <v>0.73</v>
      </c>
      <c r="AD18">
        <v>0.74399999999999999</v>
      </c>
      <c r="AE18">
        <v>0.73299999999999998</v>
      </c>
      <c r="AF18">
        <v>0.71899999999999997</v>
      </c>
      <c r="AG18">
        <v>0.71499999999999997</v>
      </c>
      <c r="AH18">
        <v>0.71899999999999997</v>
      </c>
      <c r="AI18">
        <v>0.70799999999999996</v>
      </c>
      <c r="AK18">
        <v>0.1</v>
      </c>
      <c r="AL18">
        <v>8.6530000000000005</v>
      </c>
      <c r="AM18">
        <v>8.6530000000000005</v>
      </c>
      <c r="AN18">
        <v>9.093</v>
      </c>
      <c r="AO18">
        <v>8.6530000000000005</v>
      </c>
      <c r="AP18">
        <v>8.6530000000000005</v>
      </c>
      <c r="AQ18">
        <v>8.9459999999999997</v>
      </c>
      <c r="AR18">
        <v>8.6530000000000005</v>
      </c>
      <c r="AS18">
        <v>8.6530000000000005</v>
      </c>
      <c r="AT18">
        <v>8.9459999999999997</v>
      </c>
      <c r="AU18">
        <v>8.6530000000000005</v>
      </c>
      <c r="AV18">
        <v>8.9459999999999997</v>
      </c>
      <c r="AW18">
        <v>8.9459999999999997</v>
      </c>
      <c r="AX18">
        <v>8.6530000000000005</v>
      </c>
      <c r="AY18">
        <v>8.6530000000000005</v>
      </c>
      <c r="AZ18">
        <v>8.9459999999999997</v>
      </c>
      <c r="BA18">
        <v>8.9459999999999997</v>
      </c>
    </row>
    <row r="19" spans="1:53">
      <c r="A19">
        <v>0.106</v>
      </c>
      <c r="B19">
        <v>0.23319999999999999</v>
      </c>
      <c r="C19">
        <v>5.4300000000000001E-2</v>
      </c>
      <c r="D19">
        <v>0.2261</v>
      </c>
      <c r="E19">
        <v>4.6800000000000001E-2</v>
      </c>
      <c r="F19">
        <v>0.2329</v>
      </c>
      <c r="G19">
        <v>5.28E-2</v>
      </c>
      <c r="H19">
        <v>0.2311</v>
      </c>
      <c r="I19">
        <v>5.33E-2</v>
      </c>
      <c r="J19">
        <v>0.2334</v>
      </c>
      <c r="K19">
        <v>5.3800000000000001E-2</v>
      </c>
      <c r="L19">
        <v>0.23350000000000001</v>
      </c>
      <c r="M19">
        <v>5.62E-2</v>
      </c>
      <c r="N19">
        <v>0.23200000000000001</v>
      </c>
      <c r="O19">
        <v>5.5500000000000001E-2</v>
      </c>
      <c r="P19">
        <v>0.23150000000000001</v>
      </c>
      <c r="Q19">
        <v>5.1799999999999999E-2</v>
      </c>
      <c r="S19">
        <v>0.106</v>
      </c>
      <c r="T19">
        <v>0.78500000000000003</v>
      </c>
      <c r="U19">
        <v>0.77700000000000002</v>
      </c>
      <c r="V19">
        <v>0.71099999999999997</v>
      </c>
      <c r="W19">
        <v>0.7</v>
      </c>
      <c r="X19">
        <v>0.78800000000000003</v>
      </c>
      <c r="Y19">
        <v>0.77400000000000002</v>
      </c>
      <c r="Z19">
        <v>0.76600000000000001</v>
      </c>
      <c r="AA19">
        <v>0.76600000000000001</v>
      </c>
      <c r="AB19">
        <v>0.79600000000000004</v>
      </c>
      <c r="AC19">
        <v>0.78800000000000003</v>
      </c>
      <c r="AD19">
        <v>0.79600000000000004</v>
      </c>
      <c r="AE19">
        <v>0.79200000000000004</v>
      </c>
      <c r="AF19">
        <v>0.77400000000000002</v>
      </c>
      <c r="AG19">
        <v>0.77</v>
      </c>
      <c r="AH19">
        <v>0.77700000000000002</v>
      </c>
      <c r="AI19">
        <v>0.76600000000000001</v>
      </c>
      <c r="AK19">
        <v>0.106</v>
      </c>
      <c r="AL19">
        <v>8.7989999999999995</v>
      </c>
      <c r="AM19">
        <v>8.9459999999999997</v>
      </c>
      <c r="AN19">
        <v>8.5060000000000002</v>
      </c>
      <c r="AO19">
        <v>8.7989999999999995</v>
      </c>
      <c r="AP19">
        <v>8.7989999999999995</v>
      </c>
      <c r="AQ19">
        <v>8.9459999999999997</v>
      </c>
      <c r="AR19">
        <v>8.6530000000000005</v>
      </c>
      <c r="AS19">
        <v>8.9459999999999997</v>
      </c>
      <c r="AT19">
        <v>8.7989999999999995</v>
      </c>
      <c r="AU19">
        <v>9.093</v>
      </c>
      <c r="AV19">
        <v>8.7989999999999995</v>
      </c>
      <c r="AW19">
        <v>8.6530000000000005</v>
      </c>
      <c r="AX19">
        <v>8.5060000000000002</v>
      </c>
      <c r="AY19">
        <v>8.6530000000000005</v>
      </c>
      <c r="AZ19">
        <v>8.9459999999999997</v>
      </c>
      <c r="BA19">
        <v>8.7989999999999995</v>
      </c>
    </row>
    <row r="20" spans="1:53">
      <c r="A20">
        <v>0.113</v>
      </c>
      <c r="B20">
        <v>0.2382</v>
      </c>
      <c r="C20">
        <v>5.9299999999999999E-2</v>
      </c>
      <c r="D20">
        <v>0.23069999999999999</v>
      </c>
      <c r="E20">
        <v>5.1400000000000001E-2</v>
      </c>
      <c r="F20">
        <v>0.2379</v>
      </c>
      <c r="G20">
        <v>5.7799999999999997E-2</v>
      </c>
      <c r="H20">
        <v>0.23599999999999999</v>
      </c>
      <c r="I20">
        <v>5.8200000000000002E-2</v>
      </c>
      <c r="J20">
        <v>0.23849999999999999</v>
      </c>
      <c r="K20">
        <v>5.8900000000000001E-2</v>
      </c>
      <c r="L20">
        <v>0.23860000000000001</v>
      </c>
      <c r="M20">
        <v>6.1199999999999997E-2</v>
      </c>
      <c r="N20">
        <v>0.2369</v>
      </c>
      <c r="O20">
        <v>6.0499999999999998E-2</v>
      </c>
      <c r="P20">
        <v>0.2366</v>
      </c>
      <c r="Q20">
        <v>5.67E-2</v>
      </c>
      <c r="S20">
        <v>0.113</v>
      </c>
      <c r="T20">
        <v>0.84</v>
      </c>
      <c r="U20">
        <v>0.83199999999999996</v>
      </c>
      <c r="V20">
        <v>0.77</v>
      </c>
      <c r="W20">
        <v>0.755</v>
      </c>
      <c r="X20">
        <v>0.84</v>
      </c>
      <c r="Y20">
        <v>0.82899999999999996</v>
      </c>
      <c r="Z20">
        <v>0.82099999999999995</v>
      </c>
      <c r="AA20">
        <v>0.81399999999999995</v>
      </c>
      <c r="AB20">
        <v>0.85399999999999998</v>
      </c>
      <c r="AC20">
        <v>0.84</v>
      </c>
      <c r="AD20">
        <v>0.85399999999999998</v>
      </c>
      <c r="AE20">
        <v>0.84699999999999998</v>
      </c>
      <c r="AF20">
        <v>0.82899999999999996</v>
      </c>
      <c r="AG20">
        <v>0.82099999999999995</v>
      </c>
      <c r="AH20">
        <v>0.83199999999999996</v>
      </c>
      <c r="AI20">
        <v>0.82099999999999995</v>
      </c>
      <c r="AK20">
        <v>0.113</v>
      </c>
      <c r="AL20">
        <v>8.7989999999999995</v>
      </c>
      <c r="AM20">
        <v>8.7989999999999995</v>
      </c>
      <c r="AN20">
        <v>8.5060000000000002</v>
      </c>
      <c r="AO20">
        <v>8.6530000000000005</v>
      </c>
      <c r="AP20">
        <v>8.9459999999999997</v>
      </c>
      <c r="AQ20">
        <v>8.7989999999999995</v>
      </c>
      <c r="AR20">
        <v>8.7989999999999995</v>
      </c>
      <c r="AS20">
        <v>8.6530000000000005</v>
      </c>
      <c r="AT20">
        <v>8.7989999999999995</v>
      </c>
      <c r="AU20">
        <v>8.9459999999999997</v>
      </c>
      <c r="AV20">
        <v>8.6530000000000005</v>
      </c>
      <c r="AW20">
        <v>8.9459999999999997</v>
      </c>
      <c r="AX20">
        <v>8.6530000000000005</v>
      </c>
      <c r="AY20">
        <v>8.5060000000000002</v>
      </c>
      <c r="AZ20">
        <v>8.9459999999999997</v>
      </c>
      <c r="BA20">
        <v>8.9459999999999997</v>
      </c>
    </row>
    <row r="21" spans="1:53">
      <c r="A21">
        <v>0.11899999999999999</v>
      </c>
      <c r="B21">
        <v>0.2437</v>
      </c>
      <c r="C21">
        <v>6.4600000000000005E-2</v>
      </c>
      <c r="D21">
        <v>0.23569999999999999</v>
      </c>
      <c r="E21">
        <v>5.62E-2</v>
      </c>
      <c r="F21">
        <v>0.24340000000000001</v>
      </c>
      <c r="G21">
        <v>6.3200000000000006E-2</v>
      </c>
      <c r="H21">
        <v>0.24129999999999999</v>
      </c>
      <c r="I21">
        <v>6.3500000000000001E-2</v>
      </c>
      <c r="J21">
        <v>0.24399999999999999</v>
      </c>
      <c r="K21">
        <v>6.4399999999999999E-2</v>
      </c>
      <c r="L21">
        <v>0.24410000000000001</v>
      </c>
      <c r="M21">
        <v>6.6699999999999995E-2</v>
      </c>
      <c r="N21">
        <v>0.24229999999999999</v>
      </c>
      <c r="O21">
        <v>6.5799999999999997E-2</v>
      </c>
      <c r="P21">
        <v>0.24199999999999999</v>
      </c>
      <c r="Q21">
        <v>6.2100000000000002E-2</v>
      </c>
      <c r="S21">
        <v>0.11899999999999999</v>
      </c>
      <c r="T21">
        <v>0.89800000000000002</v>
      </c>
      <c r="U21">
        <v>0.89100000000000001</v>
      </c>
      <c r="V21">
        <v>0.81799999999999995</v>
      </c>
      <c r="W21">
        <v>0.81</v>
      </c>
      <c r="X21">
        <v>0.89800000000000002</v>
      </c>
      <c r="Y21">
        <v>0.88700000000000001</v>
      </c>
      <c r="Z21">
        <v>0.873</v>
      </c>
      <c r="AA21">
        <v>0.873</v>
      </c>
      <c r="AB21">
        <v>0.90900000000000003</v>
      </c>
      <c r="AC21">
        <v>0.89800000000000002</v>
      </c>
      <c r="AD21">
        <v>0.90600000000000003</v>
      </c>
      <c r="AE21">
        <v>0.89500000000000002</v>
      </c>
      <c r="AF21">
        <v>0.876</v>
      </c>
      <c r="AG21">
        <v>0.876</v>
      </c>
      <c r="AH21">
        <v>0.88700000000000001</v>
      </c>
      <c r="AI21">
        <v>0.876</v>
      </c>
      <c r="AK21">
        <v>0.11899999999999999</v>
      </c>
      <c r="AL21">
        <v>8.7989999999999995</v>
      </c>
      <c r="AM21">
        <v>8.9459999999999997</v>
      </c>
      <c r="AN21">
        <v>8.7989999999999995</v>
      </c>
      <c r="AO21">
        <v>9.093</v>
      </c>
      <c r="AP21">
        <v>8.6530000000000005</v>
      </c>
      <c r="AQ21">
        <v>9.093</v>
      </c>
      <c r="AR21">
        <v>8.6530000000000005</v>
      </c>
      <c r="AS21">
        <v>8.5060000000000002</v>
      </c>
      <c r="AT21">
        <v>8.9459999999999997</v>
      </c>
      <c r="AU21">
        <v>8.7989999999999995</v>
      </c>
      <c r="AV21">
        <v>8.7989999999999995</v>
      </c>
      <c r="AW21">
        <v>8.7989999999999995</v>
      </c>
      <c r="AX21">
        <v>8.359</v>
      </c>
      <c r="AY21">
        <v>8.6530000000000005</v>
      </c>
      <c r="AZ21">
        <v>8.7989999999999995</v>
      </c>
      <c r="BA21">
        <v>8.7989999999999995</v>
      </c>
    </row>
    <row r="22" spans="1:53">
      <c r="A22">
        <v>0.125</v>
      </c>
      <c r="B22">
        <v>0.2495</v>
      </c>
      <c r="C22">
        <v>7.0400000000000004E-2</v>
      </c>
      <c r="D22">
        <v>0.24099999999999999</v>
      </c>
      <c r="E22">
        <v>6.1499999999999999E-2</v>
      </c>
      <c r="F22">
        <v>0.24909999999999999</v>
      </c>
      <c r="G22">
        <v>6.88E-2</v>
      </c>
      <c r="H22">
        <v>0.247</v>
      </c>
      <c r="I22">
        <v>6.9000000000000006E-2</v>
      </c>
      <c r="J22">
        <v>0.24990000000000001</v>
      </c>
      <c r="K22">
        <v>7.0099999999999996E-2</v>
      </c>
      <c r="L22">
        <v>0.25</v>
      </c>
      <c r="M22">
        <v>7.2499999999999995E-2</v>
      </c>
      <c r="N22">
        <v>0.248</v>
      </c>
      <c r="O22">
        <v>7.1400000000000005E-2</v>
      </c>
      <c r="P22">
        <v>0.2477</v>
      </c>
      <c r="Q22">
        <v>6.7699999999999996E-2</v>
      </c>
      <c r="S22">
        <v>0.125</v>
      </c>
      <c r="T22">
        <v>0.95299999999999996</v>
      </c>
      <c r="U22">
        <v>0.94599999999999995</v>
      </c>
      <c r="V22">
        <v>0.873</v>
      </c>
      <c r="W22">
        <v>0.86499999999999999</v>
      </c>
      <c r="X22">
        <v>0.95299999999999996</v>
      </c>
      <c r="Y22">
        <v>0.94199999999999995</v>
      </c>
      <c r="Z22">
        <v>0.93100000000000005</v>
      </c>
      <c r="AA22">
        <v>0.92400000000000004</v>
      </c>
      <c r="AB22">
        <v>0.96399999999999997</v>
      </c>
      <c r="AC22">
        <v>0.95299999999999996</v>
      </c>
      <c r="AD22">
        <v>0.96099999999999997</v>
      </c>
      <c r="AE22">
        <v>0.95699999999999996</v>
      </c>
      <c r="AF22">
        <v>0.93500000000000005</v>
      </c>
      <c r="AG22">
        <v>0.92800000000000005</v>
      </c>
      <c r="AH22">
        <v>0.94199999999999995</v>
      </c>
      <c r="AI22">
        <v>0.93100000000000005</v>
      </c>
      <c r="AK22">
        <v>0.125</v>
      </c>
      <c r="AL22">
        <v>8.7989999999999995</v>
      </c>
      <c r="AM22">
        <v>8.9459999999999997</v>
      </c>
      <c r="AN22">
        <v>8.5060000000000002</v>
      </c>
      <c r="AO22">
        <v>8.9459999999999997</v>
      </c>
      <c r="AP22">
        <v>9.093</v>
      </c>
      <c r="AQ22">
        <v>9.093</v>
      </c>
      <c r="AR22">
        <v>8.5060000000000002</v>
      </c>
      <c r="AS22">
        <v>8.9459999999999997</v>
      </c>
      <c r="AT22">
        <v>8.7989999999999995</v>
      </c>
      <c r="AU22">
        <v>9.093</v>
      </c>
      <c r="AV22">
        <v>8.5060000000000002</v>
      </c>
      <c r="AW22">
        <v>8.7989999999999995</v>
      </c>
      <c r="AX22">
        <v>8.359</v>
      </c>
      <c r="AY22">
        <v>8.7989999999999995</v>
      </c>
      <c r="AZ22">
        <v>8.7989999999999995</v>
      </c>
      <c r="BA22">
        <v>8.7989999999999995</v>
      </c>
    </row>
    <row r="23" spans="1:53">
      <c r="A23">
        <v>0.13100000000000001</v>
      </c>
      <c r="B23">
        <v>0.25559999999999999</v>
      </c>
      <c r="C23">
        <v>7.6499999999999999E-2</v>
      </c>
      <c r="D23">
        <v>0.24660000000000001</v>
      </c>
      <c r="E23">
        <v>6.7100000000000007E-2</v>
      </c>
      <c r="F23">
        <v>0.25540000000000002</v>
      </c>
      <c r="G23">
        <v>7.4999999999999997E-2</v>
      </c>
      <c r="H23">
        <v>0.25290000000000001</v>
      </c>
      <c r="I23">
        <v>7.51E-2</v>
      </c>
      <c r="J23">
        <v>0.25609999999999999</v>
      </c>
      <c r="K23">
        <v>7.6300000000000007E-2</v>
      </c>
      <c r="L23">
        <v>0.25609999999999999</v>
      </c>
      <c r="M23">
        <v>7.8600000000000003E-2</v>
      </c>
      <c r="N23">
        <v>0.25390000000000001</v>
      </c>
      <c r="O23">
        <v>7.7499999999999999E-2</v>
      </c>
      <c r="P23">
        <v>0.25369999999999998</v>
      </c>
      <c r="Q23">
        <v>7.3700000000000002E-2</v>
      </c>
      <c r="S23">
        <v>0.13100000000000001</v>
      </c>
      <c r="T23">
        <v>1.0049999999999999</v>
      </c>
      <c r="U23">
        <v>1.0009999999999999</v>
      </c>
      <c r="V23">
        <v>0.93100000000000005</v>
      </c>
      <c r="W23">
        <v>0.92800000000000005</v>
      </c>
      <c r="X23">
        <v>1.0049999999999999</v>
      </c>
      <c r="Y23">
        <v>1.0009999999999999</v>
      </c>
      <c r="Z23">
        <v>0.98299999999999998</v>
      </c>
      <c r="AA23">
        <v>0.97899999999999998</v>
      </c>
      <c r="AB23">
        <v>1.0189999999999999</v>
      </c>
      <c r="AC23">
        <v>1.008</v>
      </c>
      <c r="AD23">
        <v>1.016</v>
      </c>
      <c r="AE23">
        <v>1.012</v>
      </c>
      <c r="AF23">
        <v>0.98299999999999998</v>
      </c>
      <c r="AG23">
        <v>0.98599999999999999</v>
      </c>
      <c r="AH23">
        <v>0.997</v>
      </c>
      <c r="AI23">
        <v>0.98599999999999999</v>
      </c>
      <c r="AK23">
        <v>0.13100000000000001</v>
      </c>
      <c r="AL23">
        <v>8.6530000000000005</v>
      </c>
      <c r="AM23">
        <v>8.7989999999999995</v>
      </c>
      <c r="AN23">
        <v>8.7989999999999995</v>
      </c>
      <c r="AO23">
        <v>8.9459999999999997</v>
      </c>
      <c r="AP23">
        <v>8.6530000000000005</v>
      </c>
      <c r="AQ23">
        <v>8.7989999999999995</v>
      </c>
      <c r="AR23">
        <v>8.7989999999999995</v>
      </c>
      <c r="AS23">
        <v>8.6530000000000005</v>
      </c>
      <c r="AT23">
        <v>8.7989999999999995</v>
      </c>
      <c r="AU23">
        <v>8.9459999999999997</v>
      </c>
      <c r="AV23">
        <v>8.6530000000000005</v>
      </c>
      <c r="AW23">
        <v>9.2390000000000008</v>
      </c>
      <c r="AX23">
        <v>8.9459999999999997</v>
      </c>
      <c r="AY23">
        <v>8.7989999999999995</v>
      </c>
      <c r="AZ23">
        <v>8.7989999999999995</v>
      </c>
      <c r="BA23">
        <v>8.9459999999999997</v>
      </c>
    </row>
    <row r="24" spans="1:53">
      <c r="A24">
        <v>0.13800000000000001</v>
      </c>
      <c r="B24">
        <v>0.2621</v>
      </c>
      <c r="C24">
        <v>8.3000000000000004E-2</v>
      </c>
      <c r="D24">
        <v>0.2525</v>
      </c>
      <c r="E24">
        <v>7.3099999999999998E-2</v>
      </c>
      <c r="F24">
        <v>0.26179999999999998</v>
      </c>
      <c r="G24">
        <v>8.14E-2</v>
      </c>
      <c r="H24">
        <v>0.25929999999999997</v>
      </c>
      <c r="I24">
        <v>8.1299999999999997E-2</v>
      </c>
      <c r="J24">
        <v>0.2626</v>
      </c>
      <c r="K24">
        <v>8.2799999999999999E-2</v>
      </c>
      <c r="L24">
        <v>0.2626</v>
      </c>
      <c r="M24">
        <v>8.5199999999999998E-2</v>
      </c>
      <c r="N24">
        <v>0.26029999999999998</v>
      </c>
      <c r="O24">
        <v>8.3699999999999997E-2</v>
      </c>
      <c r="P24">
        <v>0.2601</v>
      </c>
      <c r="Q24">
        <v>0.08</v>
      </c>
      <c r="S24">
        <v>0.13800000000000001</v>
      </c>
      <c r="T24">
        <v>1.06</v>
      </c>
      <c r="U24">
        <v>1.056</v>
      </c>
      <c r="V24">
        <v>0.98299999999999998</v>
      </c>
      <c r="W24">
        <v>0.97899999999999998</v>
      </c>
      <c r="X24">
        <v>1.0669999999999999</v>
      </c>
      <c r="Y24">
        <v>1.056</v>
      </c>
      <c r="Z24">
        <v>1.034</v>
      </c>
      <c r="AA24">
        <v>1.038</v>
      </c>
      <c r="AB24">
        <v>1.0740000000000001</v>
      </c>
      <c r="AC24">
        <v>1.0669999999999999</v>
      </c>
      <c r="AD24">
        <v>1.0669999999999999</v>
      </c>
      <c r="AE24">
        <v>1.0669999999999999</v>
      </c>
      <c r="AF24">
        <v>1.038</v>
      </c>
      <c r="AG24">
        <v>1.0409999999999999</v>
      </c>
      <c r="AH24">
        <v>1.052</v>
      </c>
      <c r="AI24">
        <v>1.0409999999999999</v>
      </c>
      <c r="AK24">
        <v>0.13800000000000001</v>
      </c>
      <c r="AL24">
        <v>8.7989999999999995</v>
      </c>
      <c r="AM24">
        <v>8.7989999999999995</v>
      </c>
      <c r="AN24">
        <v>8.7989999999999995</v>
      </c>
      <c r="AO24">
        <v>8.9459999999999997</v>
      </c>
      <c r="AP24">
        <v>8.7989999999999995</v>
      </c>
      <c r="AQ24">
        <v>8.9459999999999997</v>
      </c>
      <c r="AR24">
        <v>8.5060000000000002</v>
      </c>
      <c r="AS24">
        <v>8.9459999999999997</v>
      </c>
      <c r="AT24">
        <v>8.7989999999999995</v>
      </c>
      <c r="AU24">
        <v>8.9459999999999997</v>
      </c>
      <c r="AV24">
        <v>8.6530000000000005</v>
      </c>
      <c r="AW24">
        <v>8.9459999999999997</v>
      </c>
      <c r="AX24">
        <v>8.5060000000000002</v>
      </c>
      <c r="AY24">
        <v>9.093</v>
      </c>
      <c r="AZ24">
        <v>8.9459999999999997</v>
      </c>
      <c r="BA24">
        <v>8.9459999999999997</v>
      </c>
    </row>
    <row r="25" spans="1:53">
      <c r="A25">
        <v>0.14399999999999999</v>
      </c>
      <c r="B25">
        <v>0.26879999999999998</v>
      </c>
      <c r="C25">
        <v>8.9599999999999999E-2</v>
      </c>
      <c r="D25">
        <v>0.25890000000000002</v>
      </c>
      <c r="E25">
        <v>7.9399999999999998E-2</v>
      </c>
      <c r="F25">
        <v>0.26860000000000001</v>
      </c>
      <c r="G25">
        <v>8.8200000000000001E-2</v>
      </c>
      <c r="H25">
        <v>0.26590000000000003</v>
      </c>
      <c r="I25">
        <v>8.7999999999999995E-2</v>
      </c>
      <c r="J25">
        <v>0.26950000000000002</v>
      </c>
      <c r="K25">
        <v>8.9599999999999999E-2</v>
      </c>
      <c r="L25">
        <v>0.26950000000000002</v>
      </c>
      <c r="M25">
        <v>9.1999999999999998E-2</v>
      </c>
      <c r="N25">
        <v>0.26690000000000003</v>
      </c>
      <c r="O25">
        <v>9.0499999999999997E-2</v>
      </c>
      <c r="P25">
        <v>0.26690000000000003</v>
      </c>
      <c r="Q25">
        <v>8.6699999999999999E-2</v>
      </c>
      <c r="S25">
        <v>0.14399999999999999</v>
      </c>
      <c r="T25">
        <v>1.115</v>
      </c>
      <c r="U25">
        <v>1.111</v>
      </c>
      <c r="V25">
        <v>1.038</v>
      </c>
      <c r="W25">
        <v>1.034</v>
      </c>
      <c r="X25">
        <v>1.115</v>
      </c>
      <c r="Y25">
        <v>1.107</v>
      </c>
      <c r="Z25">
        <v>1.093</v>
      </c>
      <c r="AA25">
        <v>1.089</v>
      </c>
      <c r="AB25">
        <v>1.129</v>
      </c>
      <c r="AC25">
        <v>1.1220000000000001</v>
      </c>
      <c r="AD25">
        <v>1.1220000000000001</v>
      </c>
      <c r="AE25">
        <v>1.1259999999999999</v>
      </c>
      <c r="AF25">
        <v>1.1000000000000001</v>
      </c>
      <c r="AG25">
        <v>1.0960000000000001</v>
      </c>
      <c r="AH25">
        <v>1.107</v>
      </c>
      <c r="AI25">
        <v>1.1000000000000001</v>
      </c>
      <c r="AK25">
        <v>0.14399999999999999</v>
      </c>
      <c r="AL25">
        <v>8.7989999999999995</v>
      </c>
      <c r="AM25">
        <v>8.9459999999999997</v>
      </c>
      <c r="AN25">
        <v>8.5060000000000002</v>
      </c>
      <c r="AO25">
        <v>8.7989999999999995</v>
      </c>
      <c r="AP25">
        <v>8.9459999999999997</v>
      </c>
      <c r="AQ25">
        <v>8.6530000000000005</v>
      </c>
      <c r="AR25">
        <v>8.6530000000000005</v>
      </c>
      <c r="AS25">
        <v>8.9459999999999997</v>
      </c>
      <c r="AT25">
        <v>8.7989999999999995</v>
      </c>
      <c r="AU25">
        <v>8.9459999999999997</v>
      </c>
      <c r="AV25">
        <v>8.5060000000000002</v>
      </c>
      <c r="AW25">
        <v>8.6530000000000005</v>
      </c>
      <c r="AX25">
        <v>8.7989999999999995</v>
      </c>
      <c r="AY25">
        <v>8.7989999999999995</v>
      </c>
      <c r="AZ25">
        <v>8.7989999999999995</v>
      </c>
      <c r="BA25">
        <v>8.9459999999999997</v>
      </c>
    </row>
    <row r="26" spans="1:53">
      <c r="A26">
        <v>0.15</v>
      </c>
      <c r="B26">
        <v>0.27600000000000002</v>
      </c>
      <c r="C26">
        <v>9.6799999999999997E-2</v>
      </c>
      <c r="D26">
        <v>0.26550000000000001</v>
      </c>
      <c r="E26">
        <v>8.5999999999999993E-2</v>
      </c>
      <c r="F26">
        <v>0.27579999999999999</v>
      </c>
      <c r="G26">
        <v>9.5200000000000007E-2</v>
      </c>
      <c r="H26">
        <v>0.27289999999999998</v>
      </c>
      <c r="I26">
        <v>9.5000000000000001E-2</v>
      </c>
      <c r="J26">
        <v>0.2767</v>
      </c>
      <c r="K26">
        <v>9.6799999999999997E-2</v>
      </c>
      <c r="L26">
        <v>0.27660000000000001</v>
      </c>
      <c r="M26">
        <v>9.9199999999999997E-2</v>
      </c>
      <c r="N26">
        <v>0.27400000000000002</v>
      </c>
      <c r="O26">
        <v>9.74E-2</v>
      </c>
      <c r="P26">
        <v>0.27400000000000002</v>
      </c>
      <c r="Q26">
        <v>9.3799999999999994E-2</v>
      </c>
      <c r="S26">
        <v>0.15</v>
      </c>
      <c r="T26">
        <v>1.173</v>
      </c>
      <c r="U26">
        <v>1.1659999999999999</v>
      </c>
      <c r="V26">
        <v>1.093</v>
      </c>
      <c r="W26">
        <v>1.089</v>
      </c>
      <c r="X26">
        <v>1.173</v>
      </c>
      <c r="Y26">
        <v>1.1659999999999999</v>
      </c>
      <c r="Z26">
        <v>1.1439999999999999</v>
      </c>
      <c r="AA26">
        <v>1.1479999999999999</v>
      </c>
      <c r="AB26">
        <v>1.1839999999999999</v>
      </c>
      <c r="AC26">
        <v>1.177</v>
      </c>
      <c r="AD26">
        <v>1.177</v>
      </c>
      <c r="AE26">
        <v>1.181</v>
      </c>
      <c r="AF26">
        <v>1.1479999999999999</v>
      </c>
      <c r="AG26">
        <v>1.155</v>
      </c>
      <c r="AH26">
        <v>1.1659999999999999</v>
      </c>
      <c r="AI26">
        <v>1.155</v>
      </c>
      <c r="AK26">
        <v>0.15</v>
      </c>
      <c r="AL26">
        <v>8.9459999999999997</v>
      </c>
      <c r="AM26">
        <v>8.9459999999999997</v>
      </c>
      <c r="AN26">
        <v>8.7989999999999995</v>
      </c>
      <c r="AO26">
        <v>8.9459999999999997</v>
      </c>
      <c r="AP26">
        <v>8.6530000000000005</v>
      </c>
      <c r="AQ26">
        <v>8.7989999999999995</v>
      </c>
      <c r="AR26">
        <v>8.7989999999999995</v>
      </c>
      <c r="AS26">
        <v>8.7989999999999995</v>
      </c>
      <c r="AT26">
        <v>8.7989999999999995</v>
      </c>
      <c r="AU26">
        <v>8.7989999999999995</v>
      </c>
      <c r="AV26">
        <v>8.6530000000000005</v>
      </c>
      <c r="AW26">
        <v>8.7989999999999995</v>
      </c>
      <c r="AX26">
        <v>8.6530000000000005</v>
      </c>
      <c r="AY26">
        <v>8.9459999999999997</v>
      </c>
      <c r="AZ26">
        <v>8.9459999999999997</v>
      </c>
      <c r="BA26">
        <v>9.093</v>
      </c>
    </row>
    <row r="27" spans="1:53">
      <c r="A27">
        <v>0.156</v>
      </c>
      <c r="B27">
        <v>0.28349999999999997</v>
      </c>
      <c r="C27">
        <v>0.1043</v>
      </c>
      <c r="D27">
        <v>0.27250000000000002</v>
      </c>
      <c r="E27">
        <v>9.2899999999999996E-2</v>
      </c>
      <c r="F27">
        <v>0.28320000000000001</v>
      </c>
      <c r="G27">
        <v>0.1027</v>
      </c>
      <c r="H27">
        <v>0.2802</v>
      </c>
      <c r="I27">
        <v>0.1023</v>
      </c>
      <c r="J27">
        <v>0.2843</v>
      </c>
      <c r="K27">
        <v>0.1043</v>
      </c>
      <c r="L27">
        <v>0.28410000000000002</v>
      </c>
      <c r="M27">
        <v>0.1067</v>
      </c>
      <c r="N27">
        <v>0.28139999999999998</v>
      </c>
      <c r="O27">
        <v>0.10489999999999999</v>
      </c>
      <c r="P27">
        <v>0.28139999999999998</v>
      </c>
      <c r="Q27">
        <v>0.1012</v>
      </c>
      <c r="S27">
        <v>0.156</v>
      </c>
      <c r="T27">
        <v>1.2250000000000001</v>
      </c>
      <c r="U27">
        <v>1.2250000000000001</v>
      </c>
      <c r="V27">
        <v>1.1439999999999999</v>
      </c>
      <c r="W27">
        <v>1.1479999999999999</v>
      </c>
      <c r="X27">
        <v>1.228</v>
      </c>
      <c r="Y27">
        <v>1.2170000000000001</v>
      </c>
      <c r="Z27">
        <v>1.1990000000000001</v>
      </c>
      <c r="AA27">
        <v>1.2030000000000001</v>
      </c>
      <c r="AB27">
        <v>1.2390000000000001</v>
      </c>
      <c r="AC27">
        <v>1.232</v>
      </c>
      <c r="AD27">
        <v>1.228</v>
      </c>
      <c r="AE27">
        <v>1.228</v>
      </c>
      <c r="AF27">
        <v>1.2030000000000001</v>
      </c>
      <c r="AG27">
        <v>1.206</v>
      </c>
      <c r="AH27">
        <v>1.2170000000000001</v>
      </c>
      <c r="AI27">
        <v>1.21</v>
      </c>
      <c r="AK27">
        <v>0.156</v>
      </c>
      <c r="AL27">
        <v>8.7989999999999995</v>
      </c>
      <c r="AM27">
        <v>8.9459999999999997</v>
      </c>
      <c r="AN27">
        <v>8.7989999999999995</v>
      </c>
      <c r="AO27">
        <v>9.093</v>
      </c>
      <c r="AP27">
        <v>8.9459999999999997</v>
      </c>
      <c r="AQ27">
        <v>9.2390000000000008</v>
      </c>
      <c r="AR27">
        <v>8.5060000000000002</v>
      </c>
      <c r="AS27">
        <v>8.9459999999999997</v>
      </c>
      <c r="AT27">
        <v>8.6530000000000005</v>
      </c>
      <c r="AU27">
        <v>8.9459999999999997</v>
      </c>
      <c r="AV27">
        <v>8.5060000000000002</v>
      </c>
      <c r="AW27">
        <v>8.7989999999999995</v>
      </c>
      <c r="AX27">
        <v>8.2129999999999992</v>
      </c>
      <c r="AY27">
        <v>8.9459999999999997</v>
      </c>
      <c r="AZ27">
        <v>8.9459999999999997</v>
      </c>
      <c r="BA27">
        <v>8.9459999999999997</v>
      </c>
    </row>
    <row r="28" spans="1:53">
      <c r="A28">
        <v>0.16300000000000001</v>
      </c>
      <c r="B28">
        <v>0.29139999999999999</v>
      </c>
      <c r="C28">
        <v>0.11210000000000001</v>
      </c>
      <c r="D28">
        <v>0.27979999999999999</v>
      </c>
      <c r="E28">
        <v>0.1003</v>
      </c>
      <c r="F28">
        <v>0.29110000000000003</v>
      </c>
      <c r="G28">
        <v>0.1105</v>
      </c>
      <c r="H28">
        <v>0.28789999999999999</v>
      </c>
      <c r="I28">
        <v>0.11</v>
      </c>
      <c r="J28">
        <v>0.29220000000000002</v>
      </c>
      <c r="K28">
        <v>0.11219999999999999</v>
      </c>
      <c r="L28">
        <v>0.29199999999999998</v>
      </c>
      <c r="M28">
        <v>0.1147</v>
      </c>
      <c r="N28">
        <v>0.28899999999999998</v>
      </c>
      <c r="O28">
        <v>0.11260000000000001</v>
      </c>
      <c r="P28">
        <v>0.2893</v>
      </c>
      <c r="Q28">
        <v>0.1089</v>
      </c>
      <c r="S28">
        <v>0.16300000000000001</v>
      </c>
      <c r="T28">
        <v>1.2829999999999999</v>
      </c>
      <c r="U28">
        <v>1.28</v>
      </c>
      <c r="V28">
        <v>1.2030000000000001</v>
      </c>
      <c r="W28">
        <v>1.2030000000000001</v>
      </c>
      <c r="X28">
        <v>1.2829999999999999</v>
      </c>
      <c r="Y28">
        <v>1.276</v>
      </c>
      <c r="Z28">
        <v>1.254</v>
      </c>
      <c r="AA28">
        <v>1.258</v>
      </c>
      <c r="AB28">
        <v>1.294</v>
      </c>
      <c r="AC28">
        <v>1.2869999999999999</v>
      </c>
      <c r="AD28">
        <v>1.2829999999999999</v>
      </c>
      <c r="AE28">
        <v>1.2869999999999999</v>
      </c>
      <c r="AF28">
        <v>1.254</v>
      </c>
      <c r="AG28">
        <v>1.2649999999999999</v>
      </c>
      <c r="AH28">
        <v>1.276</v>
      </c>
      <c r="AI28">
        <v>1.2689999999999999</v>
      </c>
      <c r="AK28">
        <v>0.16300000000000001</v>
      </c>
      <c r="AL28">
        <v>8.5060000000000002</v>
      </c>
      <c r="AM28">
        <v>9.093</v>
      </c>
      <c r="AN28">
        <v>8.7989999999999995</v>
      </c>
      <c r="AO28">
        <v>9.2390000000000008</v>
      </c>
      <c r="AP28">
        <v>8.6530000000000005</v>
      </c>
      <c r="AQ28">
        <v>8.9459999999999997</v>
      </c>
      <c r="AR28">
        <v>8.5060000000000002</v>
      </c>
      <c r="AS28">
        <v>8.7989999999999995</v>
      </c>
      <c r="AT28">
        <v>8.6530000000000005</v>
      </c>
      <c r="AU28">
        <v>8.7989999999999995</v>
      </c>
      <c r="AV28">
        <v>8.0660000000000007</v>
      </c>
      <c r="AW28">
        <v>8.5060000000000002</v>
      </c>
      <c r="AX28">
        <v>8.5060000000000002</v>
      </c>
      <c r="AY28">
        <v>8.6530000000000005</v>
      </c>
      <c r="AZ28">
        <v>8.6530000000000005</v>
      </c>
      <c r="BA28">
        <v>9.093</v>
      </c>
    </row>
    <row r="29" spans="1:53">
      <c r="A29">
        <v>0.16900000000000001</v>
      </c>
      <c r="B29">
        <v>0.29949999999999999</v>
      </c>
      <c r="C29">
        <v>0.1203</v>
      </c>
      <c r="D29">
        <v>0.28749999999999998</v>
      </c>
      <c r="E29">
        <v>0.1081</v>
      </c>
      <c r="F29">
        <v>0.29930000000000001</v>
      </c>
      <c r="G29">
        <v>0.1186</v>
      </c>
      <c r="H29">
        <v>0.2959</v>
      </c>
      <c r="I29">
        <v>0.1181</v>
      </c>
      <c r="J29">
        <v>0.30049999999999999</v>
      </c>
      <c r="K29">
        <v>0.12039999999999999</v>
      </c>
      <c r="L29">
        <v>0.30020000000000002</v>
      </c>
      <c r="M29">
        <v>0.1227</v>
      </c>
      <c r="N29">
        <v>0.29699999999999999</v>
      </c>
      <c r="O29">
        <v>0.1206</v>
      </c>
      <c r="P29">
        <v>0.29730000000000001</v>
      </c>
      <c r="Q29">
        <v>0.11700000000000001</v>
      </c>
      <c r="S29">
        <v>0.16900000000000001</v>
      </c>
      <c r="T29">
        <v>1.335</v>
      </c>
      <c r="U29">
        <v>1.335</v>
      </c>
      <c r="V29">
        <v>1.258</v>
      </c>
      <c r="W29">
        <v>1.2609999999999999</v>
      </c>
      <c r="X29">
        <v>1.3380000000000001</v>
      </c>
      <c r="Y29">
        <v>1.3380000000000001</v>
      </c>
      <c r="Z29">
        <v>1.3049999999999999</v>
      </c>
      <c r="AA29">
        <v>1.3129999999999999</v>
      </c>
      <c r="AB29">
        <v>1.3460000000000001</v>
      </c>
      <c r="AC29">
        <v>1.3460000000000001</v>
      </c>
      <c r="AD29">
        <v>1.335</v>
      </c>
      <c r="AE29">
        <v>1.3460000000000001</v>
      </c>
      <c r="AF29">
        <v>1.3049999999999999</v>
      </c>
      <c r="AG29">
        <v>1.32</v>
      </c>
      <c r="AH29">
        <v>1.331</v>
      </c>
      <c r="AI29">
        <v>1.3240000000000001</v>
      </c>
      <c r="AK29">
        <v>0.16900000000000001</v>
      </c>
      <c r="AL29">
        <v>8.6530000000000005</v>
      </c>
      <c r="AM29">
        <v>8.9459999999999997</v>
      </c>
      <c r="AN29">
        <v>8.7989999999999995</v>
      </c>
      <c r="AO29">
        <v>8.9459999999999997</v>
      </c>
      <c r="AP29">
        <v>8.6530000000000005</v>
      </c>
      <c r="AQ29">
        <v>9.2390000000000008</v>
      </c>
      <c r="AR29">
        <v>8.5060000000000002</v>
      </c>
      <c r="AS29">
        <v>8.9459999999999997</v>
      </c>
      <c r="AT29">
        <v>8.5060000000000002</v>
      </c>
      <c r="AU29">
        <v>8.9459999999999997</v>
      </c>
      <c r="AV29">
        <v>8.2129999999999992</v>
      </c>
      <c r="AW29">
        <v>9.093</v>
      </c>
      <c r="AX29">
        <v>8.5060000000000002</v>
      </c>
      <c r="AY29">
        <v>8.9459999999999997</v>
      </c>
      <c r="AZ29">
        <v>8.7989999999999995</v>
      </c>
      <c r="BA29">
        <v>9.093</v>
      </c>
    </row>
    <row r="30" spans="1:53">
      <c r="A30">
        <v>0.17499999999999999</v>
      </c>
      <c r="B30">
        <v>0.30809999999999998</v>
      </c>
      <c r="C30">
        <v>0.1288</v>
      </c>
      <c r="D30">
        <v>0.29559999999999997</v>
      </c>
      <c r="E30">
        <v>0.11600000000000001</v>
      </c>
      <c r="F30">
        <v>0.30790000000000001</v>
      </c>
      <c r="G30">
        <v>0.12709999999999999</v>
      </c>
      <c r="H30">
        <v>0.30420000000000003</v>
      </c>
      <c r="I30">
        <v>0.12640000000000001</v>
      </c>
      <c r="J30">
        <v>0.30909999999999999</v>
      </c>
      <c r="K30">
        <v>0.129</v>
      </c>
      <c r="L30">
        <v>0.30869999999999997</v>
      </c>
      <c r="M30">
        <v>0.1313</v>
      </c>
      <c r="N30">
        <v>0.30530000000000002</v>
      </c>
      <c r="O30">
        <v>0.12909999999999999</v>
      </c>
      <c r="P30">
        <v>0.30590000000000001</v>
      </c>
      <c r="Q30">
        <v>0.1255</v>
      </c>
      <c r="S30">
        <v>0.17499999999999999</v>
      </c>
      <c r="T30">
        <v>1.3859999999999999</v>
      </c>
      <c r="U30">
        <v>1.393</v>
      </c>
      <c r="V30">
        <v>1.3129999999999999</v>
      </c>
      <c r="W30">
        <v>1.32</v>
      </c>
      <c r="X30">
        <v>1.39</v>
      </c>
      <c r="Y30">
        <v>1.39</v>
      </c>
      <c r="Z30">
        <v>1.357</v>
      </c>
      <c r="AA30">
        <v>1.3680000000000001</v>
      </c>
      <c r="AB30">
        <v>1.401</v>
      </c>
      <c r="AC30">
        <v>1.397</v>
      </c>
      <c r="AD30">
        <v>1.379</v>
      </c>
      <c r="AE30">
        <v>1.393</v>
      </c>
      <c r="AF30">
        <v>1.36</v>
      </c>
      <c r="AG30">
        <v>1.371</v>
      </c>
      <c r="AH30">
        <v>1.3819999999999999</v>
      </c>
      <c r="AI30">
        <v>1.3819999999999999</v>
      </c>
      <c r="AK30">
        <v>0.17499999999999999</v>
      </c>
      <c r="AL30">
        <v>8.0660000000000007</v>
      </c>
      <c r="AM30">
        <v>8.7989999999999995</v>
      </c>
      <c r="AN30">
        <v>8.5060000000000002</v>
      </c>
      <c r="AO30">
        <v>9.2390000000000008</v>
      </c>
      <c r="AP30">
        <v>8.5060000000000002</v>
      </c>
      <c r="AQ30">
        <v>9.2390000000000008</v>
      </c>
      <c r="AR30">
        <v>8.359</v>
      </c>
      <c r="AS30">
        <v>8.9459999999999997</v>
      </c>
      <c r="AT30">
        <v>8.5060000000000002</v>
      </c>
      <c r="AU30">
        <v>9.093</v>
      </c>
      <c r="AV30">
        <v>7.9189999999999996</v>
      </c>
      <c r="AW30">
        <v>8.9459999999999997</v>
      </c>
      <c r="AX30">
        <v>8.5060000000000002</v>
      </c>
      <c r="AY30">
        <v>8.7989999999999995</v>
      </c>
      <c r="AZ30">
        <v>8.6530000000000005</v>
      </c>
      <c r="BA30">
        <v>8.7989999999999995</v>
      </c>
    </row>
    <row r="31" spans="1:53">
      <c r="A31">
        <v>0.18099999999999999</v>
      </c>
      <c r="B31">
        <v>0.31690000000000002</v>
      </c>
      <c r="C31">
        <v>0.13769999999999999</v>
      </c>
      <c r="D31">
        <v>0.3039</v>
      </c>
      <c r="E31">
        <v>0.1245</v>
      </c>
      <c r="F31">
        <v>0.31669999999999998</v>
      </c>
      <c r="G31">
        <v>0.1361</v>
      </c>
      <c r="H31">
        <v>0.31280000000000002</v>
      </c>
      <c r="I31">
        <v>0.1351</v>
      </c>
      <c r="J31">
        <v>0.318</v>
      </c>
      <c r="K31">
        <v>0.13789999999999999</v>
      </c>
      <c r="L31">
        <v>0.3175</v>
      </c>
      <c r="M31">
        <v>0.14030000000000001</v>
      </c>
      <c r="N31">
        <v>0.314</v>
      </c>
      <c r="O31">
        <v>0.13789999999999999</v>
      </c>
      <c r="P31">
        <v>0.31469999999999998</v>
      </c>
      <c r="Q31">
        <v>0.1343</v>
      </c>
      <c r="S31">
        <v>0.18099999999999999</v>
      </c>
      <c r="T31">
        <v>1.4410000000000001</v>
      </c>
      <c r="U31">
        <v>1.448</v>
      </c>
      <c r="V31">
        <v>1.3640000000000001</v>
      </c>
      <c r="W31">
        <v>1.371</v>
      </c>
      <c r="X31">
        <v>1.4450000000000001</v>
      </c>
      <c r="Y31">
        <v>1.448</v>
      </c>
      <c r="Z31">
        <v>1.4119999999999999</v>
      </c>
      <c r="AA31">
        <v>1.4259999999999999</v>
      </c>
      <c r="AB31">
        <v>1.452</v>
      </c>
      <c r="AC31">
        <v>1.456</v>
      </c>
      <c r="AD31">
        <v>1.4339999999999999</v>
      </c>
      <c r="AE31">
        <v>1.456</v>
      </c>
      <c r="AF31">
        <v>1.415</v>
      </c>
      <c r="AG31">
        <v>1.43</v>
      </c>
      <c r="AH31">
        <v>1.4370000000000001</v>
      </c>
      <c r="AI31">
        <v>1.4370000000000001</v>
      </c>
      <c r="AK31">
        <v>0.18099999999999999</v>
      </c>
      <c r="AN31">
        <v>8.359</v>
      </c>
      <c r="AO31">
        <v>9.093</v>
      </c>
      <c r="AR31">
        <v>8.359</v>
      </c>
      <c r="AS31">
        <v>8.9459999999999997</v>
      </c>
      <c r="AX31">
        <v>8.359</v>
      </c>
      <c r="AY31">
        <v>8.7989999999999995</v>
      </c>
      <c r="AZ31">
        <v>8.6530000000000005</v>
      </c>
      <c r="BA31">
        <v>8.9459999999999997</v>
      </c>
    </row>
    <row r="32" spans="1:53">
      <c r="A32">
        <v>0.188</v>
      </c>
      <c r="B32">
        <v>0.32600000000000001</v>
      </c>
      <c r="C32">
        <v>0.1469</v>
      </c>
      <c r="D32">
        <v>0.31259999999999999</v>
      </c>
      <c r="E32">
        <v>0.1333</v>
      </c>
      <c r="F32">
        <v>0.32579999999999998</v>
      </c>
      <c r="G32">
        <v>0.14530000000000001</v>
      </c>
      <c r="H32">
        <v>0.32179999999999997</v>
      </c>
      <c r="I32">
        <v>0.14419999999999999</v>
      </c>
      <c r="J32">
        <v>0.32719999999999999</v>
      </c>
      <c r="K32">
        <v>0.14710000000000001</v>
      </c>
      <c r="L32">
        <v>0.32650000000000001</v>
      </c>
      <c r="M32">
        <v>0.14949999999999999</v>
      </c>
      <c r="N32">
        <v>0.32300000000000001</v>
      </c>
      <c r="O32">
        <v>0.14680000000000001</v>
      </c>
      <c r="P32">
        <v>0.32379999999999998</v>
      </c>
      <c r="Q32">
        <v>0.1434</v>
      </c>
      <c r="S32">
        <v>0.188</v>
      </c>
      <c r="T32">
        <v>1.4850000000000001</v>
      </c>
      <c r="U32">
        <v>1.5</v>
      </c>
      <c r="V32">
        <v>1.415</v>
      </c>
      <c r="W32">
        <v>1.4339999999999999</v>
      </c>
      <c r="X32">
        <v>1.496</v>
      </c>
      <c r="Y32">
        <v>1.5069999999999999</v>
      </c>
      <c r="Z32">
        <v>1.4630000000000001</v>
      </c>
      <c r="AA32">
        <v>1.4810000000000001</v>
      </c>
      <c r="AB32">
        <v>1.5069999999999999</v>
      </c>
      <c r="AC32">
        <v>1.514</v>
      </c>
      <c r="AD32">
        <v>1.4810000000000001</v>
      </c>
      <c r="AE32">
        <v>1.5109999999999999</v>
      </c>
      <c r="AF32">
        <v>1.4670000000000001</v>
      </c>
      <c r="AG32">
        <v>1.4850000000000001</v>
      </c>
      <c r="AH32">
        <v>1.492</v>
      </c>
      <c r="AI32">
        <v>1.4890000000000001</v>
      </c>
      <c r="AK32">
        <v>0.188</v>
      </c>
      <c r="AN32">
        <v>8.359</v>
      </c>
      <c r="AO32">
        <v>8.9459999999999997</v>
      </c>
    </row>
    <row r="33" spans="1:37">
      <c r="A33">
        <v>0.19400000000000001</v>
      </c>
      <c r="B33">
        <v>0.33550000000000002</v>
      </c>
      <c r="C33">
        <v>0.1565</v>
      </c>
      <c r="D33">
        <v>0.3216</v>
      </c>
      <c r="E33">
        <v>0.14230000000000001</v>
      </c>
      <c r="F33">
        <v>0.33539999999999998</v>
      </c>
      <c r="G33">
        <v>0.15479999999999999</v>
      </c>
      <c r="H33">
        <v>0.33119999999999999</v>
      </c>
      <c r="I33">
        <v>0.1537</v>
      </c>
      <c r="J33">
        <v>0.33679999999999999</v>
      </c>
      <c r="K33">
        <v>0.15679999999999999</v>
      </c>
      <c r="L33">
        <v>0.33600000000000002</v>
      </c>
      <c r="M33">
        <v>0.15909999999999999</v>
      </c>
      <c r="N33">
        <v>0.33239999999999997</v>
      </c>
      <c r="O33">
        <v>0.15640000000000001</v>
      </c>
      <c r="P33">
        <v>0.33329999999999999</v>
      </c>
      <c r="Q33">
        <v>0.15290000000000001</v>
      </c>
      <c r="S33">
        <v>0.19400000000000001</v>
      </c>
      <c r="V33">
        <v>1.4670000000000001</v>
      </c>
      <c r="W33">
        <v>1.4890000000000001</v>
      </c>
      <c r="Z33">
        <v>1.514</v>
      </c>
      <c r="AA33">
        <v>1.536</v>
      </c>
      <c r="AF33">
        <v>1.514</v>
      </c>
      <c r="AG33">
        <v>1.54</v>
      </c>
      <c r="AH33">
        <v>1.5469999999999999</v>
      </c>
      <c r="AI33">
        <v>1.5469999999999999</v>
      </c>
      <c r="AK33">
        <v>0.19400000000000001</v>
      </c>
    </row>
    <row r="34" spans="1:37">
      <c r="A34">
        <v>0.2</v>
      </c>
      <c r="B34">
        <v>0.34520000000000001</v>
      </c>
      <c r="C34">
        <v>0.1663</v>
      </c>
      <c r="D34">
        <v>0.33100000000000002</v>
      </c>
      <c r="E34">
        <v>0.15190000000000001</v>
      </c>
      <c r="F34">
        <v>0.3453</v>
      </c>
      <c r="G34">
        <v>0.1648</v>
      </c>
      <c r="H34">
        <v>0.34079999999999999</v>
      </c>
      <c r="I34">
        <v>0.16339999999999999</v>
      </c>
      <c r="J34">
        <v>0.34670000000000001</v>
      </c>
      <c r="K34">
        <v>0.1668</v>
      </c>
      <c r="L34">
        <v>0.34570000000000001</v>
      </c>
      <c r="M34">
        <v>0.1691</v>
      </c>
      <c r="N34">
        <v>0.34200000000000003</v>
      </c>
      <c r="O34">
        <v>0.16619999999999999</v>
      </c>
      <c r="P34">
        <v>0.34320000000000001</v>
      </c>
      <c r="Q34">
        <v>0.16270000000000001</v>
      </c>
      <c r="S34">
        <v>0.2</v>
      </c>
      <c r="V34">
        <v>1.522</v>
      </c>
      <c r="W34">
        <v>1.544</v>
      </c>
      <c r="AK34">
        <v>0.2</v>
      </c>
    </row>
    <row r="35" spans="1:37">
      <c r="D35">
        <v>0.34060000000000001</v>
      </c>
      <c r="E35">
        <v>0.16170000000000001</v>
      </c>
      <c r="H35">
        <v>0.35070000000000001</v>
      </c>
      <c r="I35">
        <v>0.17349999999999999</v>
      </c>
      <c r="N35">
        <v>0.35189999999999999</v>
      </c>
      <c r="O35">
        <v>0.1764</v>
      </c>
      <c r="P35">
        <v>0.3533</v>
      </c>
      <c r="Q35">
        <v>0.17299999999999999</v>
      </c>
      <c r="S35">
        <v>0.20599999999999999</v>
      </c>
    </row>
    <row r="36" spans="1:37">
      <c r="D36">
        <v>0.35070000000000001</v>
      </c>
      <c r="E36">
        <v>0.1719</v>
      </c>
    </row>
    <row r="60" spans="1:26">
      <c r="A60" t="s">
        <v>49</v>
      </c>
      <c r="C60" t="s">
        <v>50</v>
      </c>
      <c r="D60" t="s">
        <v>51</v>
      </c>
      <c r="E60" t="s">
        <v>52</v>
      </c>
      <c r="G60" t="s">
        <v>53</v>
      </c>
      <c r="H60" t="s">
        <v>54</v>
      </c>
      <c r="I60" t="s">
        <v>55</v>
      </c>
    </row>
    <row r="61" spans="1:26">
      <c r="C61">
        <v>0</v>
      </c>
      <c r="D61">
        <f>AVERAGE(B2,D2,F2,H2,J2,L2,N2,P2)</f>
        <v>0.19747500000000001</v>
      </c>
      <c r="E61">
        <f>AVERAGE(C2,E2,G2,I2,K2,M2,O2,Q2)</f>
        <v>1.9462499999999997E-2</v>
      </c>
      <c r="G61">
        <v>0</v>
      </c>
      <c r="H61">
        <v>0</v>
      </c>
      <c r="I61">
        <v>0</v>
      </c>
    </row>
    <row r="62" spans="1:26">
      <c r="C62">
        <v>6.0000000000000001E-3</v>
      </c>
      <c r="D62">
        <f t="shared" ref="D62:D93" si="0">AVERAGE(B3,D3,F3,H3,J3,L3,N3,P3)</f>
        <v>0.19747500000000001</v>
      </c>
      <c r="E62">
        <f t="shared" ref="E62:E93" si="1">AVERAGE(C3,E3,G3,I3,K3,M3,O3,Q3)</f>
        <v>1.9449999999999999E-2</v>
      </c>
      <c r="G62">
        <v>6.0000000000000001E-3</v>
      </c>
      <c r="H62">
        <v>0</v>
      </c>
      <c r="I62">
        <v>0</v>
      </c>
      <c r="U62" s="1" t="s">
        <v>56</v>
      </c>
      <c r="V62" s="1" t="s">
        <v>57</v>
      </c>
      <c r="W62" s="1" t="s">
        <v>58</v>
      </c>
    </row>
    <row r="63" spans="1:26">
      <c r="C63">
        <v>1.2999999999999999E-2</v>
      </c>
      <c r="D63">
        <f t="shared" si="0"/>
        <v>0.19747500000000001</v>
      </c>
      <c r="E63">
        <f t="shared" si="1"/>
        <v>1.9462499999999997E-2</v>
      </c>
      <c r="G63">
        <v>1.2999999999999999E-2</v>
      </c>
      <c r="H63">
        <f t="shared" ref="H63:H93" si="2">AVERAGE(T4,X4,V4,Z4,AB4,AD4,AF4,AH4)</f>
        <v>1.15E-2</v>
      </c>
      <c r="I63">
        <f t="shared" ref="I63:I93" si="3">AVERAGE(U4,W4,Y4,AA4,AC4,AE4,AG4,AI4)</f>
        <v>1.0500000000000002E-2</v>
      </c>
      <c r="U63" s="1">
        <v>0</v>
      </c>
      <c r="V63" s="1" t="s">
        <v>59</v>
      </c>
      <c r="W63" s="1">
        <v>0</v>
      </c>
      <c r="Y63">
        <v>0</v>
      </c>
      <c r="Z63">
        <v>0</v>
      </c>
    </row>
    <row r="64" spans="1:26">
      <c r="C64">
        <v>1.9E-2</v>
      </c>
      <c r="D64">
        <f t="shared" si="0"/>
        <v>0.19752500000000001</v>
      </c>
      <c r="E64">
        <f t="shared" si="1"/>
        <v>1.9487499999999998E-2</v>
      </c>
      <c r="G64">
        <v>1.9E-2</v>
      </c>
      <c r="H64">
        <f t="shared" si="2"/>
        <v>3.3375000000000002E-2</v>
      </c>
      <c r="I64">
        <f t="shared" si="3"/>
        <v>3.2500000000000001E-2</v>
      </c>
      <c r="U64" s="1">
        <v>6.0000000000000001E-3</v>
      </c>
      <c r="V64" s="1">
        <v>0</v>
      </c>
      <c r="W64" s="1">
        <v>0</v>
      </c>
      <c r="Y64">
        <v>0</v>
      </c>
      <c r="Z64">
        <v>0</v>
      </c>
    </row>
    <row r="65" spans="3:31">
      <c r="C65">
        <v>2.5000000000000001E-2</v>
      </c>
      <c r="D65">
        <f t="shared" si="0"/>
        <v>0.19777499999999998</v>
      </c>
      <c r="E65">
        <f t="shared" si="1"/>
        <v>1.9737500000000002E-2</v>
      </c>
      <c r="G65">
        <v>2.5000000000000001E-2</v>
      </c>
      <c r="H65">
        <f t="shared" si="2"/>
        <v>6.9125000000000006E-2</v>
      </c>
      <c r="I65">
        <f t="shared" si="3"/>
        <v>6.5125000000000002E-2</v>
      </c>
      <c r="U65" s="1">
        <v>1.2999999999999999E-2</v>
      </c>
      <c r="V65" s="1">
        <v>0</v>
      </c>
      <c r="W65" s="1">
        <v>0</v>
      </c>
      <c r="Y65">
        <v>0</v>
      </c>
      <c r="Z65">
        <v>0</v>
      </c>
    </row>
    <row r="66" spans="3:31">
      <c r="C66">
        <v>3.1E-2</v>
      </c>
      <c r="D66">
        <f t="shared" si="0"/>
        <v>0.19833749999999997</v>
      </c>
      <c r="E66">
        <f t="shared" si="1"/>
        <v>2.0237499999999999E-2</v>
      </c>
      <c r="G66">
        <v>3.1E-2</v>
      </c>
      <c r="H66">
        <f t="shared" si="2"/>
        <v>0.11700000000000001</v>
      </c>
      <c r="I66">
        <f t="shared" si="3"/>
        <v>0.1135</v>
      </c>
      <c r="U66" s="1">
        <v>1.9E-2</v>
      </c>
      <c r="V66" s="1">
        <v>0</v>
      </c>
      <c r="W66" s="1">
        <v>0</v>
      </c>
      <c r="Y66">
        <v>0</v>
      </c>
      <c r="Z66">
        <v>0</v>
      </c>
    </row>
    <row r="67" spans="3:31">
      <c r="C67">
        <v>3.7999999999999999E-2</v>
      </c>
      <c r="D67">
        <f t="shared" si="0"/>
        <v>0.19923750000000001</v>
      </c>
      <c r="E67">
        <f t="shared" si="1"/>
        <v>2.1075E-2</v>
      </c>
      <c r="G67">
        <v>3.7999999999999999E-2</v>
      </c>
      <c r="H67">
        <f t="shared" si="2"/>
        <v>0.170125</v>
      </c>
      <c r="I67">
        <f t="shared" si="3"/>
        <v>0.16600000000000001</v>
      </c>
      <c r="U67" s="1">
        <v>2.5000000000000001E-2</v>
      </c>
      <c r="V67" s="1">
        <v>6.342625</v>
      </c>
      <c r="W67" s="1">
        <v>6.2142499999999998</v>
      </c>
      <c r="Y67">
        <f>AVERAGE(AL6,AN6,AP6,AR6,AT6,AV6,AX6,AZ6)+1</f>
        <v>7.342625</v>
      </c>
      <c r="Z67">
        <f>AVERAGE(AM6,AO6,AQ6,AS6,AU6,AW6,AY6,BA6)+1</f>
        <v>7.2142500000000007</v>
      </c>
    </row>
    <row r="68" spans="3:31">
      <c r="C68">
        <v>4.3999999999999997E-2</v>
      </c>
      <c r="D68">
        <f t="shared" si="0"/>
        <v>0.20044999999999999</v>
      </c>
      <c r="E68">
        <f t="shared" si="1"/>
        <v>2.2337500000000003E-2</v>
      </c>
      <c r="G68">
        <v>4.3999999999999997E-2</v>
      </c>
      <c r="H68">
        <f t="shared" si="2"/>
        <v>0.22600000000000003</v>
      </c>
      <c r="I68">
        <f t="shared" si="3"/>
        <v>0.21875000000000003</v>
      </c>
      <c r="U68" s="1">
        <v>3.1E-2</v>
      </c>
      <c r="V68" s="1">
        <v>7.6993749999999999</v>
      </c>
      <c r="W68" s="1">
        <v>7.4426249999999996</v>
      </c>
      <c r="Y68">
        <f t="shared" ref="Y68:Y93" si="4">AVERAGE(AL7,AN7,AP7,AR7,AT7,AV7,AX7,AZ7)+1</f>
        <v>8.6993749999999999</v>
      </c>
      <c r="Z68">
        <f t="shared" ref="Z68:Z93" si="5">AVERAGE(AM7,AO7,AQ7,AS7,AU7,AW7,AY7,BA7)+1</f>
        <v>8.4426249999999996</v>
      </c>
    </row>
    <row r="69" spans="3:31">
      <c r="C69">
        <v>0.05</v>
      </c>
      <c r="D69">
        <f t="shared" si="0"/>
        <v>0.20202499999999998</v>
      </c>
      <c r="E69">
        <f t="shared" si="1"/>
        <v>2.3875E-2</v>
      </c>
      <c r="G69">
        <v>0.05</v>
      </c>
      <c r="H69">
        <f t="shared" si="2"/>
        <v>0.27999999999999997</v>
      </c>
      <c r="I69">
        <f t="shared" si="3"/>
        <v>0.27549999999999997</v>
      </c>
      <c r="U69" s="1">
        <v>3.7999999999999999E-2</v>
      </c>
      <c r="V69" s="1">
        <v>8.4326249999999998</v>
      </c>
      <c r="W69" s="1">
        <v>8.4143749999999997</v>
      </c>
      <c r="Y69">
        <f t="shared" si="4"/>
        <v>9.4326249999999998</v>
      </c>
      <c r="Z69">
        <f t="shared" si="5"/>
        <v>9.4143749999999997</v>
      </c>
    </row>
    <row r="70" spans="3:31">
      <c r="C70">
        <v>5.6000000000000001E-2</v>
      </c>
      <c r="D70">
        <f t="shared" si="0"/>
        <v>0.20398749999999999</v>
      </c>
      <c r="E70">
        <f t="shared" si="1"/>
        <v>2.5725000000000001E-2</v>
      </c>
      <c r="G70">
        <v>5.6000000000000001E-2</v>
      </c>
      <c r="H70">
        <f t="shared" si="2"/>
        <v>0.33462500000000001</v>
      </c>
      <c r="I70">
        <f t="shared" si="3"/>
        <v>0.32687500000000003</v>
      </c>
      <c r="U70" s="1">
        <v>4.3999999999999997E-2</v>
      </c>
      <c r="V70" s="1">
        <v>8.7076250000000002</v>
      </c>
      <c r="W70" s="1">
        <v>8.5242500000000003</v>
      </c>
      <c r="Y70">
        <f t="shared" si="4"/>
        <v>9.7076250000000002</v>
      </c>
      <c r="Z70">
        <f t="shared" si="5"/>
        <v>9.5242500000000003</v>
      </c>
    </row>
    <row r="71" spans="3:31">
      <c r="C71">
        <v>6.3E-2</v>
      </c>
      <c r="D71">
        <f t="shared" si="0"/>
        <v>0.20622499999999999</v>
      </c>
      <c r="E71">
        <f t="shared" si="1"/>
        <v>2.7975E-2</v>
      </c>
      <c r="G71">
        <v>6.3E-2</v>
      </c>
      <c r="H71">
        <f t="shared" si="2"/>
        <v>0.39</v>
      </c>
      <c r="I71">
        <f t="shared" si="3"/>
        <v>0.38175000000000003</v>
      </c>
      <c r="U71" s="1">
        <v>0.05</v>
      </c>
      <c r="V71" s="1">
        <v>8.7992500000000007</v>
      </c>
      <c r="W71" s="1">
        <v>8.6343750000000004</v>
      </c>
      <c r="Y71">
        <f t="shared" si="4"/>
        <v>9.7992500000000007</v>
      </c>
      <c r="Z71">
        <f t="shared" si="5"/>
        <v>9.6343749999999986</v>
      </c>
    </row>
    <row r="72" spans="3:31">
      <c r="C72">
        <v>6.9000000000000006E-2</v>
      </c>
      <c r="D72">
        <f t="shared" si="0"/>
        <v>0.20881250000000001</v>
      </c>
      <c r="E72">
        <f t="shared" si="1"/>
        <v>3.0512499999999998E-2</v>
      </c>
      <c r="G72">
        <v>6.9000000000000006E-2</v>
      </c>
      <c r="H72">
        <f t="shared" si="2"/>
        <v>0.44412499999999999</v>
      </c>
      <c r="I72">
        <f t="shared" si="3"/>
        <v>0.43912499999999999</v>
      </c>
      <c r="U72" s="1">
        <v>5.6000000000000001E-2</v>
      </c>
      <c r="V72" s="1">
        <v>8.7260000000000009</v>
      </c>
      <c r="W72" s="1">
        <v>8.8175000000000008</v>
      </c>
      <c r="Y72">
        <f t="shared" si="4"/>
        <v>9.7259999999999991</v>
      </c>
      <c r="Z72">
        <f t="shared" si="5"/>
        <v>9.817499999999999</v>
      </c>
    </row>
    <row r="73" spans="3:31">
      <c r="C73">
        <v>7.4999999999999997E-2</v>
      </c>
      <c r="D73">
        <f t="shared" si="0"/>
        <v>0.21177499999999999</v>
      </c>
      <c r="E73">
        <f t="shared" si="1"/>
        <v>3.3400000000000006E-2</v>
      </c>
      <c r="G73">
        <v>7.4999999999999997E-2</v>
      </c>
      <c r="H73">
        <f t="shared" si="2"/>
        <v>0.49874999999999997</v>
      </c>
      <c r="I73">
        <f t="shared" si="3"/>
        <v>0.49087500000000006</v>
      </c>
      <c r="U73" s="1">
        <v>6.3E-2</v>
      </c>
      <c r="V73" s="1">
        <v>8.7442499999999992</v>
      </c>
      <c r="W73" s="1">
        <v>8.6159999999999997</v>
      </c>
      <c r="Y73">
        <f t="shared" si="4"/>
        <v>9.744250000000001</v>
      </c>
      <c r="Z73">
        <f t="shared" si="5"/>
        <v>9.6159999999999997</v>
      </c>
    </row>
    <row r="74" spans="3:31">
      <c r="C74">
        <v>8.1000000000000003E-2</v>
      </c>
      <c r="D74">
        <f t="shared" si="0"/>
        <v>0.21506250000000002</v>
      </c>
      <c r="E74">
        <f t="shared" si="1"/>
        <v>3.6687499999999998E-2</v>
      </c>
      <c r="G74">
        <v>8.1000000000000003E-2</v>
      </c>
      <c r="H74">
        <f t="shared" si="2"/>
        <v>0.5558749999999999</v>
      </c>
      <c r="I74">
        <f t="shared" si="3"/>
        <v>0.5455000000000001</v>
      </c>
      <c r="U74" s="1">
        <v>6.9000000000000006E-2</v>
      </c>
      <c r="V74" s="1">
        <v>8.8541249999999998</v>
      </c>
      <c r="W74" s="1">
        <v>8.7442499999999992</v>
      </c>
      <c r="Y74">
        <f t="shared" si="4"/>
        <v>9.8541249999999998</v>
      </c>
      <c r="Z74">
        <f t="shared" si="5"/>
        <v>9.744250000000001</v>
      </c>
      <c r="AE74" t="s">
        <v>60</v>
      </c>
    </row>
    <row r="75" spans="3:31">
      <c r="C75">
        <v>8.7999999999999995E-2</v>
      </c>
      <c r="D75">
        <f t="shared" si="0"/>
        <v>0.21868750000000001</v>
      </c>
      <c r="E75">
        <f t="shared" si="1"/>
        <v>4.0237500000000002E-2</v>
      </c>
      <c r="G75">
        <v>8.7999999999999995E-2</v>
      </c>
      <c r="H75">
        <f t="shared" si="2"/>
        <v>0.60962500000000008</v>
      </c>
      <c r="I75">
        <f t="shared" si="3"/>
        <v>0.60087499999999994</v>
      </c>
      <c r="U75" s="1">
        <v>7.4999999999999997E-2</v>
      </c>
      <c r="V75" s="1">
        <v>8.780875</v>
      </c>
      <c r="W75" s="1">
        <v>8.7627500000000005</v>
      </c>
      <c r="Y75">
        <f t="shared" si="4"/>
        <v>9.780875</v>
      </c>
      <c r="Z75">
        <f t="shared" si="5"/>
        <v>9.7627500000000005</v>
      </c>
    </row>
    <row r="76" spans="3:31">
      <c r="C76">
        <v>9.4E-2</v>
      </c>
      <c r="D76">
        <f t="shared" si="0"/>
        <v>0.22271249999999998</v>
      </c>
      <c r="E76">
        <f t="shared" si="1"/>
        <v>4.4150000000000002E-2</v>
      </c>
      <c r="G76">
        <v>9.4E-2</v>
      </c>
      <c r="H76">
        <f t="shared" si="2"/>
        <v>0.66499999999999992</v>
      </c>
      <c r="I76">
        <f t="shared" si="3"/>
        <v>0.65437500000000004</v>
      </c>
      <c r="U76" s="1">
        <v>8.1000000000000003E-2</v>
      </c>
      <c r="V76" s="1">
        <v>8.8361249999999991</v>
      </c>
      <c r="W76" s="1">
        <v>8.6159999999999997</v>
      </c>
      <c r="Y76">
        <f t="shared" si="4"/>
        <v>9.8361249999999991</v>
      </c>
      <c r="Z76">
        <f t="shared" si="5"/>
        <v>9.6159999999999997</v>
      </c>
    </row>
    <row r="77" spans="3:31">
      <c r="C77">
        <v>0.1</v>
      </c>
      <c r="D77">
        <f t="shared" si="0"/>
        <v>0.22701250000000001</v>
      </c>
      <c r="E77">
        <f t="shared" si="1"/>
        <v>4.8437500000000001E-2</v>
      </c>
      <c r="G77">
        <v>0.1</v>
      </c>
      <c r="H77">
        <f t="shared" si="2"/>
        <v>0.72000000000000008</v>
      </c>
      <c r="I77">
        <f t="shared" si="3"/>
        <v>0.71137499999999998</v>
      </c>
      <c r="U77" s="1">
        <v>8.7999999999999995E-2</v>
      </c>
      <c r="V77" s="1">
        <v>8.8544999999999998</v>
      </c>
      <c r="W77" s="1">
        <v>8.8176249999999996</v>
      </c>
      <c r="Y77">
        <f t="shared" si="4"/>
        <v>9.854499999999998</v>
      </c>
      <c r="Z77">
        <f t="shared" si="5"/>
        <v>9.8176249999999996</v>
      </c>
    </row>
    <row r="78" spans="3:31">
      <c r="C78">
        <v>0.106</v>
      </c>
      <c r="D78">
        <f t="shared" si="0"/>
        <v>0.23171249999999999</v>
      </c>
      <c r="E78">
        <f t="shared" si="1"/>
        <v>5.3062500000000005E-2</v>
      </c>
      <c r="G78">
        <v>0.106</v>
      </c>
      <c r="H78">
        <f t="shared" si="2"/>
        <v>0.77412500000000006</v>
      </c>
      <c r="I78">
        <f t="shared" si="3"/>
        <v>0.76662499999999989</v>
      </c>
      <c r="U78" s="1">
        <v>9.4E-2</v>
      </c>
      <c r="V78" s="1">
        <v>8.7261249999999997</v>
      </c>
      <c r="W78" s="1">
        <v>8.8543749999999992</v>
      </c>
      <c r="Y78">
        <f t="shared" si="4"/>
        <v>9.7261249999999997</v>
      </c>
      <c r="Z78">
        <f t="shared" si="5"/>
        <v>9.8543749999999992</v>
      </c>
    </row>
    <row r="79" spans="3:31">
      <c r="C79">
        <v>0.113</v>
      </c>
      <c r="D79">
        <f t="shared" si="0"/>
        <v>0.236675</v>
      </c>
      <c r="E79">
        <f t="shared" si="1"/>
        <v>5.7999999999999996E-2</v>
      </c>
      <c r="G79">
        <v>0.113</v>
      </c>
      <c r="H79">
        <f t="shared" si="2"/>
        <v>0.83</v>
      </c>
      <c r="I79">
        <f t="shared" si="3"/>
        <v>0.81987499999999991</v>
      </c>
      <c r="U79" s="1">
        <v>0.1</v>
      </c>
      <c r="V79" s="1">
        <v>8.8178750000000008</v>
      </c>
      <c r="W79" s="1">
        <v>8.7628749999999993</v>
      </c>
      <c r="Y79">
        <f t="shared" si="4"/>
        <v>9.817874999999999</v>
      </c>
      <c r="Z79">
        <f t="shared" si="5"/>
        <v>9.7628749999999993</v>
      </c>
    </row>
    <row r="80" spans="3:31">
      <c r="C80">
        <v>0.11899999999999999</v>
      </c>
      <c r="D80">
        <f t="shared" si="0"/>
        <v>0.24206249999999999</v>
      </c>
      <c r="E80">
        <f t="shared" si="1"/>
        <v>6.3312500000000008E-2</v>
      </c>
      <c r="G80">
        <v>0.11899999999999999</v>
      </c>
      <c r="H80">
        <f t="shared" si="2"/>
        <v>0.88312499999999994</v>
      </c>
      <c r="I80">
        <f t="shared" si="3"/>
        <v>0.87575000000000003</v>
      </c>
      <c r="U80" s="1">
        <v>0.106</v>
      </c>
      <c r="V80" s="1">
        <v>8.7258750000000003</v>
      </c>
      <c r="W80" s="1">
        <v>8.8543749999999992</v>
      </c>
      <c r="Y80">
        <f t="shared" si="4"/>
        <v>9.7258750000000003</v>
      </c>
      <c r="Z80">
        <f t="shared" si="5"/>
        <v>9.8543749999999974</v>
      </c>
    </row>
    <row r="81" spans="1:26">
      <c r="C81">
        <v>0.125</v>
      </c>
      <c r="D81">
        <f t="shared" si="0"/>
        <v>0.247775</v>
      </c>
      <c r="E81">
        <f t="shared" si="1"/>
        <v>6.8925000000000014E-2</v>
      </c>
      <c r="G81">
        <v>0.125</v>
      </c>
      <c r="H81">
        <f t="shared" si="2"/>
        <v>0.93900000000000006</v>
      </c>
      <c r="I81">
        <f t="shared" si="3"/>
        <v>0.93074999999999997</v>
      </c>
      <c r="U81" s="1">
        <v>0.113</v>
      </c>
      <c r="V81" s="1">
        <v>8.7626249999999999</v>
      </c>
      <c r="W81" s="1">
        <v>8.7810000000000006</v>
      </c>
      <c r="Y81">
        <f t="shared" si="4"/>
        <v>9.7626249999999999</v>
      </c>
      <c r="Z81">
        <f t="shared" si="5"/>
        <v>9.7809999999999988</v>
      </c>
    </row>
    <row r="82" spans="1:26">
      <c r="A82" t="s">
        <v>61</v>
      </c>
      <c r="B82" t="s">
        <v>62</v>
      </c>
      <c r="C82">
        <v>0.13100000000000001</v>
      </c>
      <c r="D82">
        <f t="shared" si="0"/>
        <v>0.2537875</v>
      </c>
      <c r="E82">
        <f t="shared" si="1"/>
        <v>7.4975E-2</v>
      </c>
      <c r="G82">
        <v>0.13100000000000001</v>
      </c>
      <c r="H82">
        <f t="shared" si="2"/>
        <v>0.9923749999999999</v>
      </c>
      <c r="I82">
        <f t="shared" si="3"/>
        <v>0.98762499999999998</v>
      </c>
      <c r="U82" s="1">
        <v>0.11899999999999999</v>
      </c>
      <c r="V82" s="1">
        <v>8.7258750000000003</v>
      </c>
      <c r="W82" s="1">
        <v>8.8360000000000003</v>
      </c>
      <c r="Y82">
        <f t="shared" si="4"/>
        <v>9.7258749999999985</v>
      </c>
      <c r="Z82">
        <f t="shared" si="5"/>
        <v>9.8360000000000003</v>
      </c>
    </row>
    <row r="83" spans="1:26">
      <c r="C83">
        <v>0.13800000000000001</v>
      </c>
      <c r="D83">
        <f t="shared" si="0"/>
        <v>0.26016249999999996</v>
      </c>
      <c r="E83">
        <f t="shared" si="1"/>
        <v>8.1312499999999996E-2</v>
      </c>
      <c r="G83">
        <v>0.13800000000000001</v>
      </c>
      <c r="H83">
        <f t="shared" si="2"/>
        <v>1.046875</v>
      </c>
      <c r="I83">
        <f t="shared" si="3"/>
        <v>1.0431250000000001</v>
      </c>
      <c r="U83" s="1">
        <v>0.125</v>
      </c>
      <c r="V83" s="1">
        <v>8.6708750000000006</v>
      </c>
      <c r="W83" s="1">
        <v>8.9276250000000008</v>
      </c>
      <c r="Y83">
        <f t="shared" si="4"/>
        <v>9.6708749999999988</v>
      </c>
      <c r="Z83">
        <f t="shared" si="5"/>
        <v>9.927624999999999</v>
      </c>
    </row>
    <row r="84" spans="1:26">
      <c r="C84">
        <v>0.14399999999999999</v>
      </c>
      <c r="D84">
        <f t="shared" si="0"/>
        <v>0.26687500000000003</v>
      </c>
      <c r="E84">
        <f t="shared" si="1"/>
        <v>8.7999999999999995E-2</v>
      </c>
      <c r="G84">
        <v>0.14399999999999999</v>
      </c>
      <c r="H84">
        <f t="shared" si="2"/>
        <v>1.1023749999999999</v>
      </c>
      <c r="I84">
        <f t="shared" si="3"/>
        <v>1.0981249999999998</v>
      </c>
      <c r="U84" s="1">
        <v>0.13100000000000001</v>
      </c>
      <c r="V84" s="1">
        <v>8.7626249999999999</v>
      </c>
      <c r="W84" s="1">
        <v>8.8908749999999994</v>
      </c>
      <c r="Y84">
        <f t="shared" si="4"/>
        <v>9.7626249999999999</v>
      </c>
      <c r="Z84">
        <f t="shared" si="5"/>
        <v>9.8908749999999994</v>
      </c>
    </row>
    <row r="85" spans="1:26">
      <c r="C85">
        <v>0.15</v>
      </c>
      <c r="D85">
        <f t="shared" si="0"/>
        <v>0.2739375</v>
      </c>
      <c r="E85">
        <f t="shared" si="1"/>
        <v>9.5024999999999998E-2</v>
      </c>
      <c r="G85">
        <v>0.15</v>
      </c>
      <c r="H85">
        <f t="shared" si="2"/>
        <v>1.1572500000000001</v>
      </c>
      <c r="I85">
        <f t="shared" si="3"/>
        <v>1.154625</v>
      </c>
      <c r="U85" s="1">
        <v>0.13800000000000001</v>
      </c>
      <c r="V85" s="1">
        <v>8.7258750000000003</v>
      </c>
      <c r="W85" s="1">
        <v>8.9459999999999997</v>
      </c>
      <c r="Y85">
        <f t="shared" si="4"/>
        <v>9.7258750000000003</v>
      </c>
      <c r="Z85">
        <f t="shared" si="5"/>
        <v>9.945999999999998</v>
      </c>
    </row>
    <row r="86" spans="1:26">
      <c r="C86">
        <v>0.156</v>
      </c>
      <c r="D86">
        <f t="shared" si="0"/>
        <v>0.28132500000000005</v>
      </c>
      <c r="E86">
        <f t="shared" si="1"/>
        <v>0.10241249999999999</v>
      </c>
      <c r="G86">
        <v>0.156</v>
      </c>
      <c r="H86">
        <f t="shared" si="2"/>
        <v>1.210375</v>
      </c>
      <c r="I86">
        <f t="shared" si="3"/>
        <v>1.2086250000000001</v>
      </c>
      <c r="U86" s="1">
        <v>0.14399999999999999</v>
      </c>
      <c r="V86" s="1">
        <v>8.7258750000000003</v>
      </c>
      <c r="W86" s="1">
        <v>8.8360000000000003</v>
      </c>
      <c r="Y86">
        <f t="shared" si="4"/>
        <v>9.7258749999999985</v>
      </c>
      <c r="Z86">
        <f t="shared" si="5"/>
        <v>9.8359999999999985</v>
      </c>
    </row>
    <row r="87" spans="1:26">
      <c r="C87">
        <v>0.16300000000000001</v>
      </c>
      <c r="D87">
        <f t="shared" si="0"/>
        <v>0.2890875</v>
      </c>
      <c r="E87">
        <f t="shared" si="1"/>
        <v>0.11016250000000001</v>
      </c>
      <c r="G87">
        <v>0.16300000000000001</v>
      </c>
      <c r="H87">
        <f t="shared" si="2"/>
        <v>1.2662499999999999</v>
      </c>
      <c r="I87">
        <f t="shared" si="3"/>
        <v>1.265625</v>
      </c>
      <c r="U87" s="1">
        <v>0.15</v>
      </c>
      <c r="V87" s="1">
        <v>8.7810000000000006</v>
      </c>
      <c r="W87" s="1">
        <v>8.8908749999999994</v>
      </c>
      <c r="Y87">
        <f t="shared" si="4"/>
        <v>9.7809999999999988</v>
      </c>
      <c r="Z87">
        <f t="shared" si="5"/>
        <v>9.8908749999999994</v>
      </c>
    </row>
    <row r="88" spans="1:26">
      <c r="C88">
        <v>0.16900000000000001</v>
      </c>
      <c r="D88">
        <f t="shared" si="0"/>
        <v>0.29714999999999997</v>
      </c>
      <c r="E88">
        <f t="shared" si="1"/>
        <v>0.118225</v>
      </c>
      <c r="G88">
        <v>0.16900000000000001</v>
      </c>
      <c r="H88">
        <f t="shared" si="2"/>
        <v>1.3191249999999999</v>
      </c>
      <c r="I88">
        <f t="shared" si="3"/>
        <v>1.322875</v>
      </c>
      <c r="U88" s="1">
        <v>0.156</v>
      </c>
      <c r="V88" s="1">
        <v>8.6709999999999994</v>
      </c>
      <c r="W88" s="1">
        <v>8.9826250000000005</v>
      </c>
      <c r="Y88">
        <f t="shared" si="4"/>
        <v>9.6709999999999994</v>
      </c>
      <c r="Z88">
        <f t="shared" si="5"/>
        <v>9.9826250000000005</v>
      </c>
    </row>
    <row r="89" spans="1:26">
      <c r="C89">
        <v>0.17499999999999999</v>
      </c>
      <c r="D89">
        <f t="shared" si="0"/>
        <v>0.30559999999999998</v>
      </c>
      <c r="E89">
        <f t="shared" si="1"/>
        <v>0.12664999999999998</v>
      </c>
      <c r="G89">
        <v>0.17499999999999999</v>
      </c>
      <c r="H89">
        <f t="shared" si="2"/>
        <v>1.3709999999999998</v>
      </c>
      <c r="I89">
        <f t="shared" si="3"/>
        <v>1.3767500000000001</v>
      </c>
      <c r="U89" s="1">
        <v>0.16300000000000001</v>
      </c>
      <c r="V89" s="1">
        <v>8.5427499999999998</v>
      </c>
      <c r="W89" s="1">
        <v>8.891</v>
      </c>
      <c r="Y89">
        <f t="shared" si="4"/>
        <v>9.5427499999999998</v>
      </c>
      <c r="Z89">
        <f t="shared" si="5"/>
        <v>9.891</v>
      </c>
    </row>
    <row r="90" spans="1:26">
      <c r="C90">
        <v>0.18099999999999999</v>
      </c>
      <c r="D90">
        <f t="shared" si="0"/>
        <v>0.31431249999999999</v>
      </c>
      <c r="E90">
        <f t="shared" si="1"/>
        <v>0.13547500000000001</v>
      </c>
      <c r="G90">
        <v>0.18099999999999999</v>
      </c>
      <c r="H90">
        <f t="shared" si="2"/>
        <v>1.425</v>
      </c>
      <c r="I90">
        <f t="shared" si="3"/>
        <v>1.4339999999999997</v>
      </c>
      <c r="U90" s="1">
        <v>0.16900000000000001</v>
      </c>
      <c r="V90" s="1">
        <v>8.5793750000000006</v>
      </c>
      <c r="W90" s="1">
        <v>9.0193750000000001</v>
      </c>
      <c r="Y90">
        <f t="shared" si="4"/>
        <v>9.5793749999999989</v>
      </c>
      <c r="Z90">
        <f t="shared" si="5"/>
        <v>10.019375</v>
      </c>
    </row>
    <row r="91" spans="1:26">
      <c r="C91">
        <v>0.188</v>
      </c>
      <c r="D91">
        <f t="shared" si="0"/>
        <v>0.3233375</v>
      </c>
      <c r="E91">
        <f t="shared" si="1"/>
        <v>0.14456249999999998</v>
      </c>
      <c r="G91">
        <v>0.188</v>
      </c>
      <c r="H91">
        <f t="shared" si="2"/>
        <v>1.4757500000000001</v>
      </c>
      <c r="I91">
        <f t="shared" si="3"/>
        <v>1.4901249999999999</v>
      </c>
      <c r="U91" s="1">
        <v>0.17499999999999999</v>
      </c>
      <c r="V91" s="1">
        <v>8.3776250000000001</v>
      </c>
      <c r="W91" s="1">
        <v>8.9824999999999999</v>
      </c>
      <c r="Y91">
        <f t="shared" si="4"/>
        <v>9.3776250000000001</v>
      </c>
      <c r="Z91">
        <f t="shared" si="5"/>
        <v>9.9824999999999999</v>
      </c>
    </row>
    <row r="92" spans="1:26">
      <c r="C92">
        <v>0.19400000000000001</v>
      </c>
      <c r="D92">
        <f t="shared" si="0"/>
        <v>0.33277499999999999</v>
      </c>
      <c r="E92">
        <f t="shared" si="1"/>
        <v>0.15406250000000002</v>
      </c>
      <c r="G92">
        <v>0.19400000000000001</v>
      </c>
      <c r="H92">
        <f t="shared" si="2"/>
        <v>1.5105</v>
      </c>
      <c r="I92">
        <f t="shared" si="3"/>
        <v>1.528</v>
      </c>
      <c r="U92" s="1">
        <v>0.18099999999999999</v>
      </c>
      <c r="V92" s="1">
        <v>8.4324999999999992</v>
      </c>
      <c r="W92" s="1">
        <v>8.9459999999999997</v>
      </c>
      <c r="Y92">
        <f t="shared" si="4"/>
        <v>9.4324999999999992</v>
      </c>
      <c r="Z92">
        <f t="shared" si="5"/>
        <v>9.9459999999999997</v>
      </c>
    </row>
    <row r="93" spans="1:26">
      <c r="C93">
        <v>0.2</v>
      </c>
      <c r="D93">
        <f t="shared" si="0"/>
        <v>0.3424875</v>
      </c>
      <c r="E93">
        <f t="shared" si="1"/>
        <v>0.16390000000000002</v>
      </c>
      <c r="G93">
        <v>0.2</v>
      </c>
      <c r="H93">
        <f t="shared" si="2"/>
        <v>1.522</v>
      </c>
      <c r="I93">
        <f t="shared" si="3"/>
        <v>1.544</v>
      </c>
      <c r="U93" s="1">
        <v>0.188</v>
      </c>
      <c r="V93" s="1">
        <v>8.359</v>
      </c>
      <c r="W93" s="1">
        <v>8.9459999999999997</v>
      </c>
      <c r="Y93">
        <f t="shared" si="4"/>
        <v>9.359</v>
      </c>
      <c r="Z93">
        <f t="shared" si="5"/>
        <v>9.9459999999999997</v>
      </c>
    </row>
    <row r="94" spans="1:26">
      <c r="U94" s="1">
        <v>0.19400000000000001</v>
      </c>
      <c r="V94" s="1"/>
      <c r="W94" s="1"/>
      <c r="Y94">
        <v>0</v>
      </c>
      <c r="Z94">
        <v>0</v>
      </c>
    </row>
    <row r="95" spans="1:26">
      <c r="U95" s="1">
        <v>0.2</v>
      </c>
      <c r="V95" s="1"/>
      <c r="W95" s="1"/>
      <c r="Y95">
        <v>0</v>
      </c>
      <c r="Z95">
        <v>0</v>
      </c>
    </row>
    <row r="96" spans="1:26">
      <c r="U96" s="1">
        <v>0.20599999999999999</v>
      </c>
      <c r="V96" s="1"/>
      <c r="W96" s="1"/>
      <c r="Y96">
        <v>0</v>
      </c>
      <c r="Z96">
        <v>0</v>
      </c>
    </row>
    <row r="98" spans="21:23">
      <c r="U98" t="s">
        <v>63</v>
      </c>
      <c r="V98">
        <f>AVERAGE(V67:V93)</f>
        <v>8.5616388888888899</v>
      </c>
      <c r="W98">
        <f>AVERAGE(W67:W93)</f>
        <v>8.6648703703703696</v>
      </c>
    </row>
    <row r="100" spans="21:23">
      <c r="U100" t="s">
        <v>64</v>
      </c>
      <c r="V100">
        <f>STDEV(V67:V93)</f>
        <v>0.50240584452430437</v>
      </c>
      <c r="W100">
        <f>STDEV(W67:W93)</f>
        <v>0.5748114108389174</v>
      </c>
    </row>
    <row r="102" spans="21:23">
      <c r="U102" t="s">
        <v>65</v>
      </c>
      <c r="V102">
        <f>AVERAGE(V98:W98)</f>
        <v>8.6132546296296297</v>
      </c>
      <c r="W102">
        <f>_xlfn.STDEV.S(V67:W93)</f>
        <v>0.5372392835018639</v>
      </c>
    </row>
    <row r="113" spans="1:11">
      <c r="A113" t="s">
        <v>0</v>
      </c>
      <c r="B113" t="s">
        <v>1</v>
      </c>
      <c r="C113" t="s">
        <v>2</v>
      </c>
      <c r="E113" t="s">
        <v>0</v>
      </c>
      <c r="F113" t="s">
        <v>17</v>
      </c>
      <c r="G113" t="s">
        <v>18</v>
      </c>
      <c r="I113" t="s">
        <v>0</v>
      </c>
      <c r="J113" t="s">
        <v>66</v>
      </c>
      <c r="K113" t="s">
        <v>67</v>
      </c>
    </row>
    <row r="114" spans="1:11">
      <c r="A114">
        <v>0</v>
      </c>
      <c r="B114">
        <v>0.2006</v>
      </c>
      <c r="C114">
        <v>2.0000000000000001E-4</v>
      </c>
      <c r="E114">
        <v>0</v>
      </c>
      <c r="I114">
        <v>0</v>
      </c>
    </row>
    <row r="115" spans="1:11">
      <c r="A115">
        <v>6.0000000000000001E-3</v>
      </c>
      <c r="B115">
        <v>0.2006</v>
      </c>
      <c r="C115">
        <v>2.9999999999999997E-4</v>
      </c>
      <c r="E115">
        <v>6.0000000000000001E-3</v>
      </c>
      <c r="I115">
        <v>6.0000000000000001E-3</v>
      </c>
    </row>
    <row r="116" spans="1:11">
      <c r="A116">
        <v>1.2999999999999999E-2</v>
      </c>
      <c r="B116">
        <v>0.2006</v>
      </c>
      <c r="C116">
        <v>2.9999999999999997E-4</v>
      </c>
      <c r="E116">
        <v>1.2999999999999999E-2</v>
      </c>
      <c r="F116">
        <v>1.6E-2</v>
      </c>
      <c r="G116">
        <v>1.6E-2</v>
      </c>
      <c r="I116">
        <v>1.2999999999999999E-2</v>
      </c>
    </row>
    <row r="117" spans="1:11">
      <c r="A117">
        <v>1.9E-2</v>
      </c>
      <c r="B117">
        <v>0.2006</v>
      </c>
      <c r="C117">
        <v>4.0000000000000002E-4</v>
      </c>
      <c r="E117">
        <v>1.9E-2</v>
      </c>
      <c r="F117">
        <v>4.1000000000000002E-2</v>
      </c>
      <c r="G117">
        <v>4.1000000000000002E-2</v>
      </c>
      <c r="I117">
        <v>1.9E-2</v>
      </c>
    </row>
    <row r="118" spans="1:11">
      <c r="A118">
        <v>2.5000000000000001E-2</v>
      </c>
      <c r="B118">
        <v>0.20100000000000001</v>
      </c>
      <c r="C118">
        <v>5.9999999999999995E-4</v>
      </c>
      <c r="E118">
        <v>2.5000000000000001E-2</v>
      </c>
      <c r="F118">
        <v>9.0999999999999998E-2</v>
      </c>
      <c r="G118">
        <v>8.6999999999999994E-2</v>
      </c>
      <c r="I118">
        <v>2.5000000000000001E-2</v>
      </c>
      <c r="J118">
        <v>7.58</v>
      </c>
      <c r="K118">
        <v>7.415</v>
      </c>
    </row>
    <row r="119" spans="1:11">
      <c r="A119">
        <v>3.1E-2</v>
      </c>
      <c r="B119">
        <v>0.2016</v>
      </c>
      <c r="C119">
        <v>1.2999999999999999E-3</v>
      </c>
      <c r="E119">
        <v>3.1E-2</v>
      </c>
      <c r="F119">
        <v>0.14799999999999999</v>
      </c>
      <c r="G119">
        <v>0.14000000000000001</v>
      </c>
      <c r="I119">
        <v>3.1E-2</v>
      </c>
      <c r="J119">
        <v>9.2279999999999998</v>
      </c>
      <c r="K119">
        <v>8.7330000000000005</v>
      </c>
    </row>
    <row r="120" spans="1:11">
      <c r="A120">
        <v>3.7999999999999999E-2</v>
      </c>
      <c r="B120">
        <v>0.2029</v>
      </c>
      <c r="C120">
        <v>2.5000000000000001E-3</v>
      </c>
      <c r="E120">
        <v>3.7999999999999999E-2</v>
      </c>
      <c r="F120">
        <v>0.20599999999999999</v>
      </c>
      <c r="G120">
        <v>0.20200000000000001</v>
      </c>
      <c r="I120">
        <v>3.7999999999999999E-2</v>
      </c>
      <c r="J120">
        <v>9.5570000000000004</v>
      </c>
      <c r="K120">
        <v>9.3919999999999995</v>
      </c>
    </row>
    <row r="121" spans="1:11">
      <c r="A121">
        <v>4.3999999999999997E-2</v>
      </c>
      <c r="B121">
        <v>0.20430000000000001</v>
      </c>
      <c r="C121">
        <v>3.8999999999999998E-3</v>
      </c>
      <c r="E121">
        <v>4.3999999999999997E-2</v>
      </c>
      <c r="F121">
        <v>0.27200000000000002</v>
      </c>
      <c r="G121">
        <v>0.26</v>
      </c>
      <c r="I121">
        <v>4.3999999999999997E-2</v>
      </c>
      <c r="J121">
        <v>9.7219999999999995</v>
      </c>
      <c r="K121">
        <v>9.5570000000000004</v>
      </c>
    </row>
    <row r="122" spans="1:11">
      <c r="A122">
        <v>0.05</v>
      </c>
      <c r="B122">
        <v>0.20619999999999999</v>
      </c>
      <c r="C122">
        <v>5.7000000000000002E-3</v>
      </c>
      <c r="E122">
        <v>0.05</v>
      </c>
      <c r="F122">
        <v>0.33</v>
      </c>
      <c r="G122">
        <v>0.32100000000000001</v>
      </c>
      <c r="I122">
        <v>0.05</v>
      </c>
      <c r="J122">
        <v>9.8870000000000005</v>
      </c>
      <c r="K122">
        <v>9.7219999999999995</v>
      </c>
    </row>
    <row r="123" spans="1:11">
      <c r="A123">
        <v>5.6000000000000001E-2</v>
      </c>
      <c r="B123">
        <v>0.2084</v>
      </c>
      <c r="C123">
        <v>7.7999999999999996E-3</v>
      </c>
      <c r="E123">
        <v>5.6000000000000001E-2</v>
      </c>
      <c r="F123">
        <v>0.39100000000000001</v>
      </c>
      <c r="G123">
        <v>0.379</v>
      </c>
      <c r="I123">
        <v>5.6000000000000001E-2</v>
      </c>
      <c r="J123">
        <v>9.7219999999999995</v>
      </c>
      <c r="K123">
        <v>9.8870000000000005</v>
      </c>
    </row>
    <row r="124" spans="1:11">
      <c r="A124">
        <v>6.3E-2</v>
      </c>
      <c r="B124">
        <v>0.21110000000000001</v>
      </c>
      <c r="C124">
        <v>1.0500000000000001E-2</v>
      </c>
      <c r="E124">
        <v>6.3E-2</v>
      </c>
      <c r="F124">
        <v>0.45300000000000001</v>
      </c>
      <c r="G124">
        <v>0.44500000000000001</v>
      </c>
      <c r="I124">
        <v>6.3E-2</v>
      </c>
      <c r="J124">
        <v>9.8870000000000005</v>
      </c>
      <c r="K124">
        <v>9.7219999999999995</v>
      </c>
    </row>
    <row r="125" spans="1:11">
      <c r="A125">
        <v>6.9000000000000006E-2</v>
      </c>
      <c r="B125">
        <v>0.21410000000000001</v>
      </c>
      <c r="C125">
        <v>1.34E-2</v>
      </c>
      <c r="E125">
        <v>6.9000000000000006E-2</v>
      </c>
      <c r="F125">
        <v>0.51500000000000001</v>
      </c>
      <c r="G125">
        <v>0.50700000000000001</v>
      </c>
      <c r="I125">
        <v>6.9000000000000006E-2</v>
      </c>
      <c r="J125">
        <v>9.8870000000000005</v>
      </c>
      <c r="K125">
        <v>9.7219999999999995</v>
      </c>
    </row>
    <row r="126" spans="1:11">
      <c r="A126">
        <v>7.4999999999999997E-2</v>
      </c>
      <c r="B126">
        <v>0.2175</v>
      </c>
      <c r="C126">
        <v>1.6799999999999999E-2</v>
      </c>
      <c r="E126">
        <v>7.4999999999999997E-2</v>
      </c>
      <c r="F126">
        <v>0.57699999999999996</v>
      </c>
      <c r="G126">
        <v>0.56399999999999995</v>
      </c>
      <c r="I126">
        <v>7.4999999999999997E-2</v>
      </c>
      <c r="J126">
        <v>9.8870000000000005</v>
      </c>
      <c r="K126">
        <v>9.5570000000000004</v>
      </c>
    </row>
    <row r="127" spans="1:11">
      <c r="A127">
        <v>8.1000000000000003E-2</v>
      </c>
      <c r="B127">
        <v>0.2213</v>
      </c>
      <c r="C127">
        <v>2.0500000000000001E-2</v>
      </c>
      <c r="E127">
        <v>8.1000000000000003E-2</v>
      </c>
      <c r="F127">
        <v>0.63900000000000001</v>
      </c>
      <c r="G127">
        <v>0.622</v>
      </c>
      <c r="I127">
        <v>8.1000000000000003E-2</v>
      </c>
      <c r="J127">
        <v>9.8870000000000005</v>
      </c>
      <c r="K127">
        <v>9.3919999999999995</v>
      </c>
    </row>
    <row r="128" spans="1:11">
      <c r="A128">
        <v>8.7999999999999995E-2</v>
      </c>
      <c r="B128">
        <v>0.22550000000000001</v>
      </c>
      <c r="C128">
        <v>2.46E-2</v>
      </c>
      <c r="E128">
        <v>8.7999999999999995E-2</v>
      </c>
      <c r="F128">
        <v>0.7</v>
      </c>
      <c r="G128">
        <v>0.68400000000000005</v>
      </c>
      <c r="I128">
        <v>8.7999999999999995E-2</v>
      </c>
      <c r="J128">
        <v>9.7219999999999995</v>
      </c>
      <c r="K128">
        <v>9.5570000000000004</v>
      </c>
    </row>
    <row r="129" spans="1:11">
      <c r="A129">
        <v>9.4E-2</v>
      </c>
      <c r="B129">
        <v>0.2301</v>
      </c>
      <c r="C129">
        <v>2.8899999999999999E-2</v>
      </c>
      <c r="E129">
        <v>9.4E-2</v>
      </c>
      <c r="F129">
        <v>0.76200000000000001</v>
      </c>
      <c r="G129">
        <v>0.74199999999999999</v>
      </c>
      <c r="I129">
        <v>9.4E-2</v>
      </c>
      <c r="J129">
        <v>9.8870000000000005</v>
      </c>
      <c r="K129">
        <v>9.8870000000000005</v>
      </c>
    </row>
    <row r="130" spans="1:11">
      <c r="A130">
        <v>0.1</v>
      </c>
      <c r="B130">
        <v>0.23499999999999999</v>
      </c>
      <c r="C130">
        <v>3.39E-2</v>
      </c>
      <c r="E130">
        <v>0.1</v>
      </c>
      <c r="F130">
        <v>0.82</v>
      </c>
      <c r="G130">
        <v>0.80300000000000005</v>
      </c>
      <c r="I130">
        <v>0.1</v>
      </c>
      <c r="J130">
        <v>9.7219999999999995</v>
      </c>
      <c r="K130">
        <v>9.7219999999999995</v>
      </c>
    </row>
    <row r="131" spans="1:11">
      <c r="A131">
        <v>0.106</v>
      </c>
      <c r="B131">
        <v>0.2404</v>
      </c>
      <c r="C131">
        <v>3.9E-2</v>
      </c>
      <c r="E131">
        <v>0.106</v>
      </c>
      <c r="F131">
        <v>0.88600000000000001</v>
      </c>
      <c r="G131">
        <v>0.86899999999999999</v>
      </c>
      <c r="I131">
        <v>0.106</v>
      </c>
      <c r="J131">
        <v>9.7219999999999995</v>
      </c>
      <c r="K131">
        <v>9.7219999999999995</v>
      </c>
    </row>
    <row r="132" spans="1:11">
      <c r="A132">
        <v>0.113</v>
      </c>
      <c r="B132">
        <v>0.246</v>
      </c>
      <c r="C132">
        <v>4.4999999999999998E-2</v>
      </c>
      <c r="E132">
        <v>0.113</v>
      </c>
      <c r="F132">
        <v>0.94299999999999995</v>
      </c>
      <c r="G132">
        <v>0.92700000000000005</v>
      </c>
      <c r="I132">
        <v>0.113</v>
      </c>
      <c r="J132">
        <v>9.8870000000000005</v>
      </c>
      <c r="K132">
        <v>9.7219999999999995</v>
      </c>
    </row>
    <row r="133" spans="1:11">
      <c r="A133">
        <v>0.11899999999999999</v>
      </c>
      <c r="B133">
        <v>0.25219999999999998</v>
      </c>
      <c r="C133">
        <v>5.2900000000000003E-2</v>
      </c>
      <c r="E133">
        <v>0.11899999999999999</v>
      </c>
      <c r="F133">
        <v>1.0049999999999999</v>
      </c>
      <c r="G133">
        <v>0.98499999999999999</v>
      </c>
      <c r="I133">
        <v>0.11899999999999999</v>
      </c>
      <c r="J133">
        <v>9.5570000000000004</v>
      </c>
      <c r="K133">
        <v>9.3919999999999995</v>
      </c>
    </row>
    <row r="134" spans="1:11">
      <c r="A134">
        <v>0.125</v>
      </c>
      <c r="B134">
        <v>0.2586</v>
      </c>
      <c r="C134">
        <v>5.7099999999999998E-2</v>
      </c>
      <c r="E134">
        <v>0.125</v>
      </c>
      <c r="F134">
        <v>1.0669999999999999</v>
      </c>
      <c r="G134">
        <v>1.046</v>
      </c>
      <c r="I134">
        <v>0.125</v>
      </c>
      <c r="J134">
        <v>9.7219999999999995</v>
      </c>
      <c r="K134">
        <v>9.5570000000000004</v>
      </c>
    </row>
    <row r="135" spans="1:11">
      <c r="A135">
        <v>0.13100000000000001</v>
      </c>
      <c r="B135">
        <v>0.26550000000000001</v>
      </c>
      <c r="C135">
        <v>6.3600000000000004E-2</v>
      </c>
      <c r="E135">
        <v>0.13100000000000001</v>
      </c>
      <c r="F135">
        <v>1.125</v>
      </c>
      <c r="G135">
        <v>1.1040000000000001</v>
      </c>
      <c r="I135">
        <v>0.13100000000000001</v>
      </c>
      <c r="J135">
        <v>9.7219999999999995</v>
      </c>
      <c r="K135">
        <v>9.8870000000000005</v>
      </c>
    </row>
    <row r="136" spans="1:11">
      <c r="A136">
        <v>0.13800000000000001</v>
      </c>
      <c r="B136">
        <v>0.2727</v>
      </c>
      <c r="C136">
        <v>7.2300000000000003E-2</v>
      </c>
      <c r="E136">
        <v>0.13800000000000001</v>
      </c>
      <c r="F136">
        <v>1.1859999999999999</v>
      </c>
      <c r="G136">
        <v>1.1659999999999999</v>
      </c>
      <c r="I136">
        <v>0.13800000000000001</v>
      </c>
      <c r="J136">
        <v>9.5570000000000004</v>
      </c>
      <c r="K136">
        <v>9.7219999999999995</v>
      </c>
    </row>
    <row r="137" spans="1:11">
      <c r="A137">
        <v>0.14399999999999999</v>
      </c>
      <c r="B137">
        <v>0.28029999999999999</v>
      </c>
      <c r="C137">
        <v>7.8299999999999995E-2</v>
      </c>
      <c r="E137">
        <v>0.14399999999999999</v>
      </c>
      <c r="F137">
        <v>1.248</v>
      </c>
      <c r="G137">
        <v>1.232</v>
      </c>
      <c r="I137">
        <v>0.14399999999999999</v>
      </c>
      <c r="J137">
        <v>9.5570000000000004</v>
      </c>
      <c r="K137">
        <v>9.7219999999999995</v>
      </c>
    </row>
    <row r="138" spans="1:11">
      <c r="A138">
        <v>0.15</v>
      </c>
      <c r="B138">
        <v>0.2883</v>
      </c>
      <c r="C138">
        <v>8.6199999999999999E-2</v>
      </c>
      <c r="E138">
        <v>0.15</v>
      </c>
      <c r="F138">
        <v>1.306</v>
      </c>
      <c r="G138">
        <v>1.2889999999999999</v>
      </c>
      <c r="I138">
        <v>0.15</v>
      </c>
      <c r="J138">
        <v>9.5570000000000004</v>
      </c>
      <c r="K138">
        <v>9.7219999999999995</v>
      </c>
    </row>
    <row r="139" spans="1:11">
      <c r="A139">
        <v>0.156</v>
      </c>
      <c r="B139">
        <v>0.29670000000000002</v>
      </c>
      <c r="C139">
        <v>9.4399999999999998E-2</v>
      </c>
      <c r="E139">
        <v>0.156</v>
      </c>
      <c r="F139">
        <v>1.3640000000000001</v>
      </c>
      <c r="G139">
        <v>1.347</v>
      </c>
      <c r="I139">
        <v>0.156</v>
      </c>
      <c r="J139">
        <v>9.3919999999999995</v>
      </c>
      <c r="K139">
        <v>9.3919999999999995</v>
      </c>
    </row>
    <row r="140" spans="1:11">
      <c r="A140">
        <v>0.16300000000000001</v>
      </c>
      <c r="B140">
        <v>0.3054</v>
      </c>
      <c r="C140">
        <v>0.1031</v>
      </c>
      <c r="E140">
        <v>0.16300000000000001</v>
      </c>
      <c r="F140">
        <v>1.425</v>
      </c>
      <c r="G140">
        <v>1.409</v>
      </c>
      <c r="I140">
        <v>0.16300000000000001</v>
      </c>
      <c r="J140">
        <v>9.5570000000000004</v>
      </c>
      <c r="K140">
        <v>9.5570000000000004</v>
      </c>
    </row>
    <row r="141" spans="1:11">
      <c r="A141">
        <v>0.16900000000000001</v>
      </c>
      <c r="B141">
        <v>0.31440000000000001</v>
      </c>
      <c r="C141">
        <v>0.1119</v>
      </c>
      <c r="E141">
        <v>0.16900000000000001</v>
      </c>
      <c r="F141">
        <v>1.4830000000000001</v>
      </c>
      <c r="G141">
        <v>1.4670000000000001</v>
      </c>
      <c r="I141">
        <v>0.16900000000000001</v>
      </c>
      <c r="J141">
        <v>9.7219999999999995</v>
      </c>
      <c r="K141">
        <v>9.8870000000000005</v>
      </c>
    </row>
    <row r="142" spans="1:11">
      <c r="A142">
        <v>0.17499999999999999</v>
      </c>
      <c r="B142">
        <v>0.32390000000000002</v>
      </c>
      <c r="C142">
        <v>0.12139999999999999</v>
      </c>
      <c r="E142">
        <v>0.17499999999999999</v>
      </c>
      <c r="F142">
        <v>1.5449999999999999</v>
      </c>
      <c r="G142">
        <v>1.528</v>
      </c>
      <c r="I142">
        <v>0.17499999999999999</v>
      </c>
      <c r="J142">
        <v>9.5570000000000004</v>
      </c>
      <c r="K142">
        <v>9.7219999999999995</v>
      </c>
    </row>
    <row r="143" spans="1:11">
      <c r="A143">
        <v>0.18099999999999999</v>
      </c>
      <c r="B143">
        <v>0.33379999999999999</v>
      </c>
      <c r="C143">
        <v>0.13109999999999999</v>
      </c>
      <c r="E143">
        <v>0.18099999999999999</v>
      </c>
      <c r="F143">
        <v>1.607</v>
      </c>
      <c r="G143">
        <v>1.5940000000000001</v>
      </c>
      <c r="I143">
        <v>0.18099999999999999</v>
      </c>
    </row>
    <row r="144" spans="1:11">
      <c r="A144">
        <v>0.188</v>
      </c>
      <c r="B144">
        <v>0.34399999999999997</v>
      </c>
      <c r="C144">
        <v>0.14130000000000001</v>
      </c>
      <c r="E144">
        <v>0.188</v>
      </c>
      <c r="F144">
        <v>1.6639999999999999</v>
      </c>
      <c r="G144">
        <v>1.6519999999999999</v>
      </c>
      <c r="I144">
        <v>0.188</v>
      </c>
    </row>
    <row r="145" spans="1:9">
      <c r="A145">
        <v>0.19400000000000001</v>
      </c>
      <c r="B145">
        <v>0.35460000000000003</v>
      </c>
      <c r="C145">
        <v>0.15179999999999999</v>
      </c>
      <c r="E145">
        <v>0.19400000000000001</v>
      </c>
      <c r="I145">
        <v>0.19400000000000001</v>
      </c>
    </row>
    <row r="146" spans="1:9">
      <c r="A146">
        <v>0.2</v>
      </c>
      <c r="B146">
        <v>0.36549999999999999</v>
      </c>
      <c r="C146">
        <v>0.16270000000000001</v>
      </c>
      <c r="E146">
        <v>0.2</v>
      </c>
      <c r="I146">
        <v>0.2</v>
      </c>
    </row>
    <row r="147" spans="1:9">
      <c r="I147">
        <v>0.20599999999999999</v>
      </c>
    </row>
    <row r="148" spans="1:9">
      <c r="I148">
        <v>0.21299999999999999</v>
      </c>
    </row>
    <row r="149" spans="1:9">
      <c r="A149" t="s">
        <v>68</v>
      </c>
      <c r="B149">
        <f>AVERAGE(J118:K142)</f>
        <v>9.5670599999999997</v>
      </c>
    </row>
    <row r="150" spans="1:9">
      <c r="A150" t="s">
        <v>69</v>
      </c>
      <c r="B150">
        <f>_xlfn.STDEV.S(J118:K142)</f>
        <v>0.47601502334377993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Estudiante USM</dc:creator>
  <cp:keywords/>
  <dc:description/>
  <cp:lastModifiedBy>Usuario invitado</cp:lastModifiedBy>
  <cp:revision/>
  <dcterms:created xsi:type="dcterms:W3CDTF">2025-08-20T14:14:31Z</dcterms:created>
  <dcterms:modified xsi:type="dcterms:W3CDTF">2025-08-27T23:34:08Z</dcterms:modified>
  <cp:category/>
  <cp:contentStatus/>
</cp:coreProperties>
</file>