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ca40b38ac5bf1c/Escritorio/usm/FIS200/2/"/>
    </mc:Choice>
  </mc:AlternateContent>
  <xr:revisionPtr revIDLastSave="1080" documentId="8_{B6A54E3D-A742-4134-8728-AD87F6C06102}" xr6:coauthVersionLast="47" xr6:coauthVersionMax="47" xr10:uidLastSave="{B43F0CED-EB86-48BC-BAC0-021D9DABB9B1}"/>
  <bookViews>
    <workbookView xWindow="-110" yWindow="-110" windowWidth="25820" windowHeight="15500" xr2:uid="{3CB1A1D4-CB77-4D38-81CB-63DAFD14E6F8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1" l="1"/>
  <c r="Q13" i="1"/>
  <c r="Q14" i="1"/>
  <c r="Q15" i="1"/>
  <c r="Q16" i="1"/>
  <c r="Q11" i="1"/>
  <c r="P12" i="1"/>
  <c r="P13" i="1"/>
  <c r="P14" i="1"/>
  <c r="P15" i="1"/>
  <c r="P16" i="1"/>
  <c r="P11" i="1"/>
  <c r="O12" i="1"/>
  <c r="O13" i="1"/>
  <c r="O14" i="1"/>
  <c r="O15" i="1"/>
  <c r="O16" i="1"/>
  <c r="O11" i="1"/>
  <c r="M13" i="1" s="1"/>
  <c r="M16" i="1"/>
  <c r="N12" i="1"/>
  <c r="N13" i="1"/>
  <c r="N14" i="1"/>
  <c r="N15" i="1"/>
  <c r="N16" i="1"/>
  <c r="N11" i="1"/>
  <c r="M12" i="1"/>
  <c r="M14" i="1"/>
  <c r="M15" i="1"/>
  <c r="L12" i="1"/>
  <c r="L13" i="1"/>
  <c r="L14" i="1"/>
  <c r="L15" i="1"/>
  <c r="L16" i="1"/>
  <c r="K12" i="1"/>
  <c r="K13" i="1"/>
  <c r="K14" i="1"/>
  <c r="K15" i="1"/>
  <c r="K16" i="1"/>
  <c r="K11" i="1"/>
  <c r="L11" i="1"/>
  <c r="J12" i="1"/>
  <c r="J13" i="1"/>
  <c r="J14" i="1"/>
  <c r="J15" i="1"/>
  <c r="J16" i="1"/>
  <c r="J11" i="1"/>
  <c r="V58" i="1"/>
  <c r="V59" i="1"/>
  <c r="V60" i="1"/>
  <c r="V61" i="1"/>
  <c r="V62" i="1"/>
  <c r="V57" i="1"/>
  <c r="U58" i="1"/>
  <c r="U59" i="1"/>
  <c r="U60" i="1"/>
  <c r="U61" i="1"/>
  <c r="U62" i="1"/>
  <c r="U57" i="1"/>
  <c r="T58" i="1"/>
  <c r="T59" i="1"/>
  <c r="T60" i="1"/>
  <c r="T61" i="1"/>
  <c r="T62" i="1"/>
  <c r="T57" i="1"/>
  <c r="S58" i="1"/>
  <c r="S59" i="1"/>
  <c r="S60" i="1"/>
  <c r="S61" i="1"/>
  <c r="S62" i="1"/>
  <c r="S57" i="1"/>
  <c r="O58" i="1"/>
  <c r="O59" i="1"/>
  <c r="O60" i="1"/>
  <c r="O61" i="1"/>
  <c r="O62" i="1"/>
  <c r="O57" i="1"/>
  <c r="N58" i="1"/>
  <c r="N59" i="1"/>
  <c r="N60" i="1"/>
  <c r="N61" i="1"/>
  <c r="N62" i="1"/>
  <c r="N57" i="1"/>
  <c r="M58" i="1"/>
  <c r="M59" i="1"/>
  <c r="M60" i="1"/>
  <c r="M61" i="1"/>
  <c r="M62" i="1"/>
  <c r="M57" i="1"/>
  <c r="K57" i="1"/>
  <c r="J58" i="1"/>
  <c r="J59" i="1"/>
  <c r="J60" i="1"/>
  <c r="J61" i="1"/>
  <c r="J62" i="1"/>
  <c r="J57" i="1"/>
  <c r="W40" i="1"/>
  <c r="W41" i="1"/>
  <c r="W42" i="1"/>
  <c r="W43" i="1"/>
  <c r="W44" i="1"/>
  <c r="V40" i="1"/>
  <c r="V41" i="1"/>
  <c r="V42" i="1"/>
  <c r="V43" i="1"/>
  <c r="V44" i="1"/>
  <c r="U40" i="1"/>
  <c r="U41" i="1"/>
  <c r="U42" i="1"/>
  <c r="U43" i="1"/>
  <c r="U44" i="1"/>
  <c r="U39" i="1"/>
  <c r="T40" i="1"/>
  <c r="T41" i="1"/>
  <c r="T42" i="1"/>
  <c r="T43" i="1"/>
  <c r="T44" i="1"/>
  <c r="T39" i="1"/>
  <c r="T22" i="1"/>
  <c r="T23" i="1"/>
  <c r="T24" i="1"/>
  <c r="T25" i="1"/>
  <c r="T26" i="1"/>
  <c r="T21" i="1"/>
  <c r="S40" i="1"/>
  <c r="S41" i="1"/>
  <c r="S42" i="1"/>
  <c r="S43" i="1"/>
  <c r="S44" i="1"/>
  <c r="R40" i="1"/>
  <c r="R41" i="1"/>
  <c r="R42" i="1"/>
  <c r="R43" i="1"/>
  <c r="R44" i="1"/>
  <c r="O40" i="1"/>
  <c r="O41" i="1"/>
  <c r="O42" i="1"/>
  <c r="O43" i="1"/>
  <c r="O44" i="1"/>
  <c r="N40" i="1"/>
  <c r="N41" i="1"/>
  <c r="N42" i="1"/>
  <c r="N43" i="1"/>
  <c r="N44" i="1"/>
  <c r="M40" i="1"/>
  <c r="M41" i="1"/>
  <c r="M42" i="1"/>
  <c r="M43" i="1"/>
  <c r="M44" i="1"/>
  <c r="L40" i="1"/>
  <c r="L41" i="1"/>
  <c r="L42" i="1"/>
  <c r="L43" i="1"/>
  <c r="L44" i="1"/>
  <c r="K40" i="1"/>
  <c r="K41" i="1"/>
  <c r="K42" i="1"/>
  <c r="K43" i="1"/>
  <c r="K44" i="1"/>
  <c r="J40" i="1"/>
  <c r="J41" i="1"/>
  <c r="J42" i="1"/>
  <c r="J43" i="1"/>
  <c r="J44" i="1"/>
  <c r="V39" i="1"/>
  <c r="S39" i="1"/>
  <c r="O39" i="1"/>
  <c r="N39" i="1"/>
  <c r="M39" i="1"/>
  <c r="K39" i="1"/>
  <c r="J39" i="1"/>
  <c r="J23" i="1"/>
  <c r="J26" i="1"/>
  <c r="Q43" i="1"/>
  <c r="Q44" i="1"/>
  <c r="J22" i="1"/>
  <c r="K22" i="1" s="1"/>
  <c r="P22" i="1" s="1"/>
  <c r="U22" i="1" s="1"/>
  <c r="J24" i="1"/>
  <c r="K24" i="1" s="1"/>
  <c r="J25" i="1"/>
  <c r="K25" i="1" s="1"/>
  <c r="J21" i="1"/>
  <c r="E22" i="1"/>
  <c r="F22" i="1" s="1"/>
  <c r="E3" i="1"/>
  <c r="N6" i="1"/>
  <c r="N5" i="1"/>
  <c r="N4" i="1"/>
  <c r="M6" i="1"/>
  <c r="M5" i="1"/>
  <c r="M4" i="1"/>
  <c r="E58" i="1"/>
  <c r="F58" i="1" s="1"/>
  <c r="E59" i="1"/>
  <c r="F59" i="1" s="1"/>
  <c r="E60" i="1"/>
  <c r="F60" i="1" s="1"/>
  <c r="E61" i="1"/>
  <c r="F61" i="1" s="1"/>
  <c r="E62" i="1"/>
  <c r="F62" i="1" s="1"/>
  <c r="E57" i="1"/>
  <c r="F57" i="1" s="1"/>
  <c r="E40" i="1"/>
  <c r="F40" i="1" s="1"/>
  <c r="E41" i="1"/>
  <c r="F41" i="1" s="1"/>
  <c r="E42" i="1"/>
  <c r="F42" i="1" s="1"/>
  <c r="E43" i="1"/>
  <c r="F43" i="1" s="1"/>
  <c r="E44" i="1"/>
  <c r="F44" i="1" s="1"/>
  <c r="E39" i="1"/>
  <c r="F39" i="1" s="1"/>
  <c r="E23" i="1"/>
  <c r="F23" i="1" s="1"/>
  <c r="E24" i="1"/>
  <c r="F24" i="1" s="1"/>
  <c r="E25" i="1"/>
  <c r="F25" i="1" s="1"/>
  <c r="E26" i="1"/>
  <c r="F26" i="1" s="1"/>
  <c r="E21" i="1"/>
  <c r="F21" i="1" s="1"/>
  <c r="E4" i="1"/>
  <c r="E5" i="1"/>
  <c r="E6" i="1"/>
  <c r="E7" i="1"/>
  <c r="E8" i="1"/>
  <c r="F4" i="1"/>
  <c r="J6" i="1"/>
  <c r="K6" i="1" s="1"/>
  <c r="J5" i="1"/>
  <c r="K5" i="1" s="1"/>
  <c r="J4" i="1"/>
  <c r="K4" i="1" s="1"/>
  <c r="M11" i="1" l="1"/>
  <c r="P44" i="1"/>
  <c r="P43" i="1"/>
  <c r="L39" i="1"/>
  <c r="Q42" i="1"/>
  <c r="P42" i="1"/>
  <c r="Q41" i="1"/>
  <c r="P41" i="1"/>
  <c r="K60" i="1"/>
  <c r="P60" i="1" s="1"/>
  <c r="K21" i="1"/>
  <c r="Q21" i="1" s="1"/>
  <c r="V21" i="1" s="1"/>
  <c r="K61" i="1"/>
  <c r="P61" i="1" s="1"/>
  <c r="P25" i="1"/>
  <c r="U25" i="1" s="1"/>
  <c r="L25" i="1"/>
  <c r="K58" i="1"/>
  <c r="L58" i="1"/>
  <c r="P24" i="1"/>
  <c r="U24" i="1" s="1"/>
  <c r="L24" i="1"/>
  <c r="L57" i="1"/>
  <c r="O26" i="1"/>
  <c r="Q25" i="1"/>
  <c r="V25" i="1" s="1"/>
  <c r="K62" i="1"/>
  <c r="O22" i="1"/>
  <c r="N22" i="1"/>
  <c r="R22" i="1" s="1"/>
  <c r="L22" i="1"/>
  <c r="K26" i="1"/>
  <c r="P26" i="1" s="1"/>
  <c r="U26" i="1" s="1"/>
  <c r="K59" i="1"/>
  <c r="L59" i="1"/>
  <c r="Q24" i="1"/>
  <c r="V24" i="1" s="1"/>
  <c r="Q22" i="1"/>
  <c r="V22" i="1" s="1"/>
  <c r="O25" i="1"/>
  <c r="N25" i="1"/>
  <c r="R25" i="1" s="1"/>
  <c r="O24" i="1"/>
  <c r="N24" i="1"/>
  <c r="P39" i="1"/>
  <c r="Q39" i="1"/>
  <c r="K23" i="1"/>
  <c r="N26" i="1"/>
  <c r="L5" i="1"/>
  <c r="L6" i="1"/>
  <c r="L4" i="1"/>
  <c r="F3" i="1"/>
  <c r="F8" i="1"/>
  <c r="F7" i="1"/>
  <c r="F6" i="1"/>
  <c r="F5" i="1"/>
  <c r="L61" i="1" l="1"/>
  <c r="Q61" i="1"/>
  <c r="O21" i="1"/>
  <c r="L62" i="1"/>
  <c r="Q60" i="1"/>
  <c r="R61" i="1"/>
  <c r="L60" i="1"/>
  <c r="P21" i="1"/>
  <c r="U21" i="1" s="1"/>
  <c r="L21" i="1"/>
  <c r="M21" i="1" s="1"/>
  <c r="N21" i="1"/>
  <c r="L3" i="1"/>
  <c r="R24" i="1"/>
  <c r="P59" i="1"/>
  <c r="R59" i="1"/>
  <c r="Q59" i="1"/>
  <c r="R26" i="1"/>
  <c r="L26" i="1"/>
  <c r="Q26" i="1"/>
  <c r="V26" i="1" s="1"/>
  <c r="P57" i="1"/>
  <c r="Q57" i="1"/>
  <c r="M24" i="1"/>
  <c r="S24" i="1"/>
  <c r="P58" i="1"/>
  <c r="Q58" i="1"/>
  <c r="M25" i="1"/>
  <c r="S25" i="1"/>
  <c r="R21" i="1"/>
  <c r="S22" i="1"/>
  <c r="M22" i="1"/>
  <c r="R57" i="1"/>
  <c r="R39" i="1"/>
  <c r="W39" i="1"/>
  <c r="P62" i="1"/>
  <c r="Q62" i="1"/>
  <c r="Q23" i="1"/>
  <c r="V23" i="1" s="1"/>
  <c r="P23" i="1"/>
  <c r="U23" i="1" s="1"/>
  <c r="O23" i="1"/>
  <c r="N23" i="1"/>
  <c r="L23" i="1"/>
  <c r="P40" i="1"/>
  <c r="Q40" i="1"/>
  <c r="W62" i="1" l="1"/>
  <c r="W57" i="1"/>
  <c r="S21" i="1"/>
  <c r="R23" i="1"/>
  <c r="R60" i="1"/>
  <c r="W59" i="1"/>
  <c r="W58" i="1"/>
  <c r="R58" i="1"/>
  <c r="W22" i="1"/>
  <c r="W25" i="1"/>
  <c r="W24" i="1"/>
  <c r="R62" i="1"/>
  <c r="M26" i="1"/>
  <c r="W61" i="1"/>
  <c r="S26" i="1"/>
  <c r="W26" i="1" s="1"/>
  <c r="S23" i="1"/>
  <c r="M23" i="1"/>
  <c r="W60" i="1" l="1"/>
  <c r="W21" i="1"/>
  <c r="W23" i="1"/>
</calcChain>
</file>

<file path=xl/sharedStrings.xml><?xml version="1.0" encoding="utf-8"?>
<sst xmlns="http://schemas.openxmlformats.org/spreadsheetml/2006/main" count="134" uniqueCount="38">
  <si>
    <t>Ángulo [°]</t>
  </si>
  <si>
    <t>Alcance teórico [m]</t>
  </si>
  <si>
    <t>Alcance real [m]</t>
  </si>
  <si>
    <t>Alcance modelado [m]</t>
  </si>
  <si>
    <t>Velocidad inicial promedio [m/s]</t>
  </si>
  <si>
    <t>g [m/s^2]</t>
  </si>
  <si>
    <t>masa [kg]</t>
  </si>
  <si>
    <t>altura cañon [m]</t>
  </si>
  <si>
    <t>distancia cañoñ [m]</t>
  </si>
  <si>
    <t>Logger pro</t>
  </si>
  <si>
    <t>Papel calco</t>
  </si>
  <si>
    <t>Tracker</t>
  </si>
  <si>
    <t>Medición</t>
  </si>
  <si>
    <t>Constantes</t>
  </si>
  <si>
    <t>Valor</t>
  </si>
  <si>
    <t>Velocidad inicial [m/s]</t>
  </si>
  <si>
    <t>Tiempo teórico [s]</t>
  </si>
  <si>
    <t>Medicion</t>
  </si>
  <si>
    <t>Tiempo teórico de vuelo promedio [s]</t>
  </si>
  <si>
    <t>Alcance teórico promedio [m]</t>
  </si>
  <si>
    <t>Alcance real promedio [m]</t>
  </si>
  <si>
    <t>error propagado</t>
  </si>
  <si>
    <t>a</t>
  </si>
  <si>
    <t>s</t>
  </si>
  <si>
    <t>T</t>
  </si>
  <si>
    <t>R</t>
  </si>
  <si>
    <t>dt/dv0</t>
  </si>
  <si>
    <t>dt/dtheta</t>
  </si>
  <si>
    <t>dT/dH</t>
  </si>
  <si>
    <t>dT/dg</t>
  </si>
  <si>
    <t>error T</t>
  </si>
  <si>
    <t>dR/v0</t>
  </si>
  <si>
    <t>dR/dtheta</t>
  </si>
  <si>
    <t>dR/dH</t>
  </si>
  <si>
    <t>dR/dg</t>
  </si>
  <si>
    <t>error R</t>
  </si>
  <si>
    <t>dR/dv0</t>
  </si>
  <si>
    <t>dR/dT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</si>
</sst>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9" formatCode="0.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2" fontId="0" fillId="0" borderId="0" xfId="0" applyNumberForma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0" fillId="0" borderId="0" xfId="0" applyNumberFormat="1"/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0" borderId="25" xfId="0" applyBorder="1"/>
    <xf numFmtId="165" fontId="0" fillId="0" borderId="1" xfId="0" applyNumberForma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9" fontId="0" fillId="3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C019F-64F1-428F-9BA1-F329B23D7804}">
  <dimension ref="B1:W71"/>
  <sheetViews>
    <sheetView tabSelected="1" topLeftCell="F17" zoomScale="72" zoomScaleNormal="42" workbookViewId="0">
      <selection activeCell="P33" sqref="P33"/>
    </sheetView>
  </sheetViews>
  <sheetFormatPr defaultColWidth="10.90625" defaultRowHeight="14.5" x14ac:dyDescent="0.35"/>
  <cols>
    <col min="2" max="2" width="10.1796875" bestFit="1" customWidth="1"/>
    <col min="3" max="3" width="8.36328125" bestFit="1" customWidth="1"/>
    <col min="4" max="4" width="19" bestFit="1" customWidth="1"/>
    <col min="5" max="5" width="16.90625" bestFit="1" customWidth="1"/>
    <col min="6" max="6" width="16.54296875" bestFit="1" customWidth="1"/>
    <col min="9" max="9" width="16.453125" bestFit="1" customWidth="1"/>
    <col min="10" max="10" width="28.08984375" bestFit="1" customWidth="1"/>
    <col min="11" max="11" width="31.81640625" bestFit="1" customWidth="1"/>
    <col min="12" max="12" width="25.7265625" bestFit="1" customWidth="1"/>
    <col min="13" max="13" width="23" bestFit="1" customWidth="1"/>
    <col min="14" max="14" width="19.6328125" bestFit="1" customWidth="1"/>
    <col min="15" max="16" width="12.08984375" bestFit="1" customWidth="1"/>
    <col min="17" max="17" width="12.7265625" bestFit="1" customWidth="1"/>
    <col min="18" max="21" width="12.08984375" bestFit="1" customWidth="1"/>
    <col min="22" max="22" width="12.7265625" bestFit="1" customWidth="1"/>
    <col min="23" max="23" width="12.08984375" bestFit="1" customWidth="1"/>
  </cols>
  <sheetData>
    <row r="1" spans="2:17" ht="15" thickBot="1" x14ac:dyDescent="0.4">
      <c r="B1" s="6" t="s">
        <v>0</v>
      </c>
      <c r="C1" s="7">
        <v>0</v>
      </c>
      <c r="D1" s="8"/>
      <c r="E1" s="8"/>
      <c r="F1" s="9"/>
    </row>
    <row r="2" spans="2:17" x14ac:dyDescent="0.35">
      <c r="B2" s="41" t="s">
        <v>9</v>
      </c>
      <c r="C2" s="10" t="s">
        <v>12</v>
      </c>
      <c r="D2" s="10" t="s">
        <v>15</v>
      </c>
      <c r="E2" s="10" t="s">
        <v>16</v>
      </c>
      <c r="F2" s="11" t="s">
        <v>1</v>
      </c>
      <c r="I2" s="4" t="s">
        <v>0</v>
      </c>
      <c r="J2" s="4" t="s">
        <v>4</v>
      </c>
      <c r="K2" s="4" t="s">
        <v>18</v>
      </c>
      <c r="L2" s="4" t="s">
        <v>19</v>
      </c>
      <c r="M2" s="4" t="s">
        <v>20</v>
      </c>
      <c r="N2" s="4" t="s">
        <v>3</v>
      </c>
    </row>
    <row r="3" spans="2:17" x14ac:dyDescent="0.35">
      <c r="B3" s="40"/>
      <c r="C3" s="2">
        <v>1</v>
      </c>
      <c r="D3" s="2">
        <v>1.8009999999999999</v>
      </c>
      <c r="E3" s="12">
        <f>SQRT(2*$F$16/$F$14)</f>
        <v>0.23505264337590853</v>
      </c>
      <c r="F3" s="13">
        <f t="shared" ref="F3:F8" si="0">$E$3*D3</f>
        <v>0.42332981072001125</v>
      </c>
      <c r="I3" s="2">
        <v>0</v>
      </c>
      <c r="J3" s="2">
        <v>1.74</v>
      </c>
      <c r="K3" s="2">
        <v>0.24</v>
      </c>
      <c r="L3" s="33">
        <f>AVERAGE(F3:F8)</f>
        <v>0.40997098548814709</v>
      </c>
      <c r="M3" s="2">
        <v>0.42</v>
      </c>
      <c r="N3" s="2">
        <v>0.48299999999999998</v>
      </c>
    </row>
    <row r="4" spans="2:17" x14ac:dyDescent="0.35">
      <c r="B4" s="40"/>
      <c r="C4" s="2">
        <v>2</v>
      </c>
      <c r="D4" s="2">
        <v>1.6930000000000001</v>
      </c>
      <c r="E4" s="12">
        <f t="shared" ref="E4:E8" si="1">SQRT(2*$F$16/$F$14)</f>
        <v>0.23505264337590853</v>
      </c>
      <c r="F4" s="13">
        <f t="shared" si="0"/>
        <v>0.39794412523541317</v>
      </c>
      <c r="H4" s="1"/>
      <c r="I4" s="2">
        <v>15</v>
      </c>
      <c r="J4" s="3">
        <f>AVERAGE(D21:D26)</f>
        <v>1.9888333333333332</v>
      </c>
      <c r="K4" s="3">
        <f>(J4*SIN(RADIANS(I4))+SQRT((J4*SIN(RADIANS(I4)))^2+2*$F$14*$F$16))/$F$14</f>
        <v>0.2933099411007189</v>
      </c>
      <c r="L4" s="3">
        <f>K4*J4*COS(RADIANS(I4))</f>
        <v>0.56346760303910204</v>
      </c>
      <c r="M4" s="3">
        <f>AVERAGE(D28:D33)</f>
        <v>0.47533333333333333</v>
      </c>
      <c r="N4" s="2">
        <f>D35</f>
        <v>0.503</v>
      </c>
      <c r="Q4" s="1"/>
    </row>
    <row r="5" spans="2:17" x14ac:dyDescent="0.35">
      <c r="B5" s="40"/>
      <c r="C5" s="2">
        <v>3</v>
      </c>
      <c r="D5" s="2">
        <v>1.7050000000000001</v>
      </c>
      <c r="E5" s="12">
        <f t="shared" si="1"/>
        <v>0.23505264337590853</v>
      </c>
      <c r="F5" s="13">
        <f t="shared" si="0"/>
        <v>0.40076475695592406</v>
      </c>
      <c r="I5" s="2">
        <v>30</v>
      </c>
      <c r="J5" s="2">
        <f>AVERAGE(D39:D44)</f>
        <v>1.8719999999999999</v>
      </c>
      <c r="K5" s="3">
        <f>(J5*SIN(RADIANS(I5))+SQRT((J5*SIN(RADIANS(I5)))^2+2*$F$14*$F$16))/$F$14</f>
        <v>0.34909247657579789</v>
      </c>
      <c r="L5" s="3">
        <f>K5*J5*COS(RADIANS(I5))</f>
        <v>0.56594856798729298</v>
      </c>
      <c r="M5" s="2">
        <f>AVERAGE(D46:D51)</f>
        <v>0.50350000000000006</v>
      </c>
      <c r="N5" s="2">
        <f>D53</f>
        <v>0.51400000000000001</v>
      </c>
    </row>
    <row r="6" spans="2:17" x14ac:dyDescent="0.35">
      <c r="B6" s="40"/>
      <c r="C6" s="2">
        <v>4</v>
      </c>
      <c r="D6" s="2">
        <v>1.754</v>
      </c>
      <c r="E6" s="12">
        <f t="shared" si="1"/>
        <v>0.23505264337590853</v>
      </c>
      <c r="F6" s="13">
        <f t="shared" si="0"/>
        <v>0.41228233648134355</v>
      </c>
      <c r="I6" s="2">
        <v>45</v>
      </c>
      <c r="J6" s="2">
        <f>AVERAGE(D57:D62)</f>
        <v>1.6915000000000002</v>
      </c>
      <c r="K6" s="3">
        <f>(J6*SIN(RADIANS(I6))+SQRT((J6*SIN(RADIANS(I6)))^2+2*$F$14*$F$16))/$F$14</f>
        <v>0.3867162680344377</v>
      </c>
      <c r="L6" s="3">
        <f>K6*J6*COS(RADIANS(I6))</f>
        <v>0.46254015997597969</v>
      </c>
      <c r="M6" s="2">
        <f>AVERAGE(D64:D69)</f>
        <v>0.52600000000000002</v>
      </c>
      <c r="N6" s="2">
        <f>D71</f>
        <v>0.52200000000000002</v>
      </c>
    </row>
    <row r="7" spans="2:17" x14ac:dyDescent="0.35">
      <c r="B7" s="40"/>
      <c r="C7" s="2">
        <v>5</v>
      </c>
      <c r="D7" s="2">
        <v>1.7509999999999999</v>
      </c>
      <c r="E7" s="12">
        <f t="shared" si="1"/>
        <v>0.23505264337590853</v>
      </c>
      <c r="F7" s="13">
        <f t="shared" si="0"/>
        <v>0.41157717855121584</v>
      </c>
    </row>
    <row r="8" spans="2:17" ht="15" thickBot="1" x14ac:dyDescent="0.4">
      <c r="B8" s="42"/>
      <c r="C8" s="14">
        <v>6</v>
      </c>
      <c r="D8" s="14">
        <v>1.7609999999999999</v>
      </c>
      <c r="E8" s="15">
        <f t="shared" si="1"/>
        <v>0.23505264337590853</v>
      </c>
      <c r="F8" s="16">
        <f t="shared" si="0"/>
        <v>0.41392770498497489</v>
      </c>
    </row>
    <row r="9" spans="2:17" x14ac:dyDescent="0.35">
      <c r="B9" s="41" t="s">
        <v>10</v>
      </c>
      <c r="C9" s="10" t="s">
        <v>12</v>
      </c>
      <c r="D9" s="11" t="s">
        <v>2</v>
      </c>
      <c r="E9" s="17"/>
      <c r="F9" s="18"/>
    </row>
    <row r="10" spans="2:17" x14ac:dyDescent="0.35">
      <c r="B10" s="40"/>
      <c r="C10" s="19">
        <v>1</v>
      </c>
      <c r="D10" s="20">
        <v>0.38</v>
      </c>
      <c r="E10" s="17"/>
      <c r="F10" s="18"/>
      <c r="H10" s="44"/>
      <c r="I10" s="44" t="s">
        <v>21</v>
      </c>
      <c r="J10" s="44" t="s">
        <v>25</v>
      </c>
      <c r="K10" s="44" t="s">
        <v>36</v>
      </c>
      <c r="L10" s="44" t="s">
        <v>37</v>
      </c>
      <c r="M10" s="44" t="s">
        <v>29</v>
      </c>
      <c r="N10" s="44" t="s">
        <v>28</v>
      </c>
      <c r="O10" s="44" t="s">
        <v>24</v>
      </c>
      <c r="P10" s="47" t="s">
        <v>30</v>
      </c>
      <c r="Q10" s="47" t="s">
        <v>35</v>
      </c>
    </row>
    <row r="11" spans="2:17" ht="15" thickBot="1" x14ac:dyDescent="0.4">
      <c r="B11" s="40"/>
      <c r="C11" s="19">
        <v>2</v>
      </c>
      <c r="D11" s="20">
        <v>0.41199999999999998</v>
      </c>
      <c r="E11" s="17"/>
      <c r="F11" s="18"/>
      <c r="H11" s="44">
        <v>0</v>
      </c>
      <c r="I11" s="44">
        <v>1</v>
      </c>
      <c r="J11" s="44">
        <f>D3*E3</f>
        <v>0.42332981072001125</v>
      </c>
      <c r="K11" s="45">
        <f>E3</f>
        <v>0.23505264337590853</v>
      </c>
      <c r="L11" s="44">
        <f>D3</f>
        <v>1.8009999999999999</v>
      </c>
      <c r="M11" s="48">
        <f>-$O$11/(2*$F$14)</f>
        <v>-1.19802570527986E-2</v>
      </c>
      <c r="N11" s="48">
        <f>1/SQRT(2*$F$14*$F$16)</f>
        <v>0.43367646379318914</v>
      </c>
      <c r="O11" s="48">
        <f>SQRT(2*$F$16/$F$14)</f>
        <v>0.23505264337590853</v>
      </c>
      <c r="P11" s="49">
        <f>SQRT(N11*0.0005)^2</f>
        <v>2.1683823189659458E-4</v>
      </c>
      <c r="Q11" s="49">
        <f>SQRT((O11*0.0005)^2+(L11*P11)^2)</f>
        <v>4.0782683090627637E-4</v>
      </c>
    </row>
    <row r="12" spans="2:17" x14ac:dyDescent="0.35">
      <c r="B12" s="40"/>
      <c r="C12" s="2">
        <v>3</v>
      </c>
      <c r="D12" s="25">
        <v>0.41299999999999998</v>
      </c>
      <c r="E12" s="34" t="s">
        <v>13</v>
      </c>
      <c r="F12" s="36" t="s">
        <v>14</v>
      </c>
      <c r="H12" s="44"/>
      <c r="I12" s="44">
        <v>2</v>
      </c>
      <c r="J12" s="44">
        <f t="shared" ref="J12:J16" si="2">D4*E4</f>
        <v>0.39794412523541317</v>
      </c>
      <c r="K12" s="45">
        <f t="shared" ref="K12:K16" si="3">E4</f>
        <v>0.23505264337590853</v>
      </c>
      <c r="L12" s="44">
        <f t="shared" ref="L12:L16" si="4">D4</f>
        <v>1.6930000000000001</v>
      </c>
      <c r="M12" s="48">
        <f t="shared" ref="M12:M16" si="5">-$O$11/(2*$F$14)</f>
        <v>-1.19802570527986E-2</v>
      </c>
      <c r="N12" s="48">
        <f t="shared" ref="N12:N16" si="6">1/SQRT(2*$F$14*$F$16)</f>
        <v>0.43367646379318914</v>
      </c>
      <c r="O12" s="48">
        <f t="shared" ref="O12:O16" si="7">SQRT(2*$F$16/$F$14)</f>
        <v>0.23505264337590853</v>
      </c>
      <c r="P12" s="49">
        <f t="shared" ref="P12:P16" si="8">SQRT(N12*0.0005)^2</f>
        <v>2.1683823189659458E-4</v>
      </c>
      <c r="Q12" s="49">
        <f t="shared" ref="Q12:Q16" si="9">SQRT((O12*0.0005)^2+(L12*P12)^2)</f>
        <v>3.8546086531669483E-4</v>
      </c>
    </row>
    <row r="13" spans="2:17" x14ac:dyDescent="0.35">
      <c r="B13" s="40"/>
      <c r="C13" s="2">
        <v>4</v>
      </c>
      <c r="D13" s="25">
        <v>0.42899999999999999</v>
      </c>
      <c r="E13" s="35"/>
      <c r="F13" s="37"/>
      <c r="H13" s="44"/>
      <c r="I13" s="44">
        <v>3</v>
      </c>
      <c r="J13" s="44">
        <f t="shared" si="2"/>
        <v>0.40076475695592406</v>
      </c>
      <c r="K13" s="45">
        <f t="shared" si="3"/>
        <v>0.23505264337590853</v>
      </c>
      <c r="L13" s="44">
        <f t="shared" si="4"/>
        <v>1.7050000000000001</v>
      </c>
      <c r="M13" s="48">
        <f t="shared" si="5"/>
        <v>-1.19802570527986E-2</v>
      </c>
      <c r="N13" s="48">
        <f t="shared" si="6"/>
        <v>0.43367646379318914</v>
      </c>
      <c r="O13" s="48">
        <f t="shared" si="7"/>
        <v>0.23505264337590853</v>
      </c>
      <c r="P13" s="49">
        <f t="shared" si="8"/>
        <v>2.1683823189659458E-4</v>
      </c>
      <c r="Q13" s="49">
        <f t="shared" si="9"/>
        <v>3.8793983817929161E-4</v>
      </c>
    </row>
    <row r="14" spans="2:17" x14ac:dyDescent="0.35">
      <c r="B14" s="40"/>
      <c r="C14" s="2">
        <v>5</v>
      </c>
      <c r="D14" s="25">
        <v>0.42899999999999999</v>
      </c>
      <c r="E14" s="26" t="s">
        <v>5</v>
      </c>
      <c r="F14" s="21">
        <v>9.81</v>
      </c>
      <c r="H14" s="44"/>
      <c r="I14" s="44">
        <v>4</v>
      </c>
      <c r="J14" s="44">
        <f t="shared" si="2"/>
        <v>0.41228233648134355</v>
      </c>
      <c r="K14" s="45">
        <f t="shared" si="3"/>
        <v>0.23505264337590853</v>
      </c>
      <c r="L14" s="44">
        <f t="shared" si="4"/>
        <v>1.754</v>
      </c>
      <c r="M14" s="48">
        <f t="shared" si="5"/>
        <v>-1.19802570527986E-2</v>
      </c>
      <c r="N14" s="48">
        <f t="shared" si="6"/>
        <v>0.43367646379318914</v>
      </c>
      <c r="O14" s="48">
        <f t="shared" si="7"/>
        <v>0.23505264337590853</v>
      </c>
      <c r="P14" s="49">
        <f t="shared" si="8"/>
        <v>2.1683823189659458E-4</v>
      </c>
      <c r="Q14" s="49">
        <f t="shared" si="9"/>
        <v>3.9807861618761521E-4</v>
      </c>
    </row>
    <row r="15" spans="2:17" ht="15" thickBot="1" x14ac:dyDescent="0.4">
      <c r="B15" s="42"/>
      <c r="C15" s="23">
        <v>6</v>
      </c>
      <c r="D15" s="28">
        <v>0.42899999999999999</v>
      </c>
      <c r="E15" s="26" t="s">
        <v>6</v>
      </c>
      <c r="F15" s="21">
        <v>6.4219999999999999E-2</v>
      </c>
      <c r="H15" s="44"/>
      <c r="I15" s="44">
        <v>5</v>
      </c>
      <c r="J15" s="44">
        <f t="shared" si="2"/>
        <v>0.41157717855121584</v>
      </c>
      <c r="K15" s="45">
        <f t="shared" si="3"/>
        <v>0.23505264337590853</v>
      </c>
      <c r="L15" s="44">
        <f t="shared" si="4"/>
        <v>1.7509999999999999</v>
      </c>
      <c r="M15" s="48">
        <f t="shared" si="5"/>
        <v>-1.19802570527986E-2</v>
      </c>
      <c r="N15" s="48">
        <f t="shared" si="6"/>
        <v>0.43367646379318914</v>
      </c>
      <c r="O15" s="48">
        <f t="shared" si="7"/>
        <v>0.23505264337590853</v>
      </c>
      <c r="P15" s="49">
        <f t="shared" si="8"/>
        <v>2.1683823189659458E-4</v>
      </c>
      <c r="Q15" s="49">
        <f t="shared" si="9"/>
        <v>3.9745714459050552E-4</v>
      </c>
    </row>
    <row r="16" spans="2:17" x14ac:dyDescent="0.35">
      <c r="B16" s="41" t="s">
        <v>11</v>
      </c>
      <c r="C16" s="10" t="s">
        <v>12</v>
      </c>
      <c r="D16" s="31" t="s">
        <v>3</v>
      </c>
      <c r="E16" s="26" t="s">
        <v>7</v>
      </c>
      <c r="F16" s="21">
        <v>0.27100000000000002</v>
      </c>
      <c r="H16" s="44"/>
      <c r="I16" s="44">
        <v>6</v>
      </c>
      <c r="J16" s="44">
        <f t="shared" si="2"/>
        <v>0.41392770498497489</v>
      </c>
      <c r="K16" s="45">
        <f t="shared" si="3"/>
        <v>0.23505264337590853</v>
      </c>
      <c r="L16" s="44">
        <f t="shared" si="4"/>
        <v>1.7609999999999999</v>
      </c>
      <c r="M16" s="48">
        <f t="shared" si="5"/>
        <v>-1.19802570527986E-2</v>
      </c>
      <c r="N16" s="48">
        <f t="shared" si="6"/>
        <v>0.43367646379318914</v>
      </c>
      <c r="O16" s="48">
        <f t="shared" si="7"/>
        <v>0.23505264337590853</v>
      </c>
      <c r="P16" s="49">
        <f t="shared" si="8"/>
        <v>2.1683823189659458E-4</v>
      </c>
      <c r="Q16" s="49">
        <f t="shared" si="9"/>
        <v>3.9952907616682537E-4</v>
      </c>
    </row>
    <row r="17" spans="2:23" ht="15" thickBot="1" x14ac:dyDescent="0.4">
      <c r="B17" s="42"/>
      <c r="C17" s="14">
        <v>1</v>
      </c>
      <c r="D17" s="24">
        <v>0.48299999999999998</v>
      </c>
      <c r="E17" s="27" t="s">
        <v>8</v>
      </c>
      <c r="F17" s="22">
        <v>0.108</v>
      </c>
    </row>
    <row r="18" spans="2:23" ht="15" thickBot="1" x14ac:dyDescent="0.4">
      <c r="B18" s="32"/>
    </row>
    <row r="19" spans="2:23" ht="15" thickBot="1" x14ac:dyDescent="0.4">
      <c r="B19" s="6" t="s">
        <v>0</v>
      </c>
      <c r="C19" s="7">
        <v>15</v>
      </c>
      <c r="D19" s="8"/>
      <c r="E19" s="8"/>
      <c r="F19" s="9"/>
    </row>
    <row r="20" spans="2:23" x14ac:dyDescent="0.35">
      <c r="B20" s="41" t="s">
        <v>9</v>
      </c>
      <c r="C20" s="10" t="s">
        <v>12</v>
      </c>
      <c r="D20" s="10" t="s">
        <v>15</v>
      </c>
      <c r="E20" s="10" t="s">
        <v>16</v>
      </c>
      <c r="F20" s="11" t="s">
        <v>1</v>
      </c>
      <c r="I20" s="44" t="s">
        <v>21</v>
      </c>
      <c r="J20" s="44" t="s">
        <v>22</v>
      </c>
      <c r="K20" s="44" t="s">
        <v>23</v>
      </c>
      <c r="L20" s="44" t="s">
        <v>24</v>
      </c>
      <c r="M20" s="44" t="s">
        <v>25</v>
      </c>
      <c r="N20" s="44" t="s">
        <v>26</v>
      </c>
      <c r="O20" s="44" t="s">
        <v>27</v>
      </c>
      <c r="P20" s="44" t="s">
        <v>28</v>
      </c>
      <c r="Q20" s="44" t="s">
        <v>29</v>
      </c>
      <c r="R20" s="47" t="s">
        <v>30</v>
      </c>
      <c r="S20" s="44" t="s">
        <v>31</v>
      </c>
      <c r="T20" s="44" t="s">
        <v>32</v>
      </c>
      <c r="U20" s="44" t="s">
        <v>33</v>
      </c>
      <c r="V20" s="44" t="s">
        <v>34</v>
      </c>
      <c r="W20" s="47" t="s">
        <v>35</v>
      </c>
    </row>
    <row r="21" spans="2:23" x14ac:dyDescent="0.35">
      <c r="B21" s="40"/>
      <c r="C21" s="2">
        <v>1</v>
      </c>
      <c r="D21" s="2">
        <v>2.0710000000000002</v>
      </c>
      <c r="E21" s="12">
        <f t="shared" ref="E21:E26" si="10">(D21*SIN(RADIANS($C$19))+SQRT((D21*SIN(RADIANS($C$19)))^2+2*$F$14*$F$16))/$F$14</f>
        <v>0.29595934007854785</v>
      </c>
      <c r="F21" s="13">
        <f t="shared" ref="F21:F26" si="11">D21*E21*COS(RADIANS($C$19))</f>
        <v>0.59204664890472447</v>
      </c>
      <c r="H21">
        <v>15</v>
      </c>
      <c r="I21" s="44">
        <v>1</v>
      </c>
      <c r="J21" s="45">
        <f>D21*SIN(RADIANS($H$21))</f>
        <v>0.53601424240732054</v>
      </c>
      <c r="K21" s="45">
        <f>SQRT((J21^2)+2*$F$14*$F$16)</f>
        <v>2.3673468837632337</v>
      </c>
      <c r="L21" s="45">
        <f>(J21+K21)/$F$14</f>
        <v>0.29595934007854785</v>
      </c>
      <c r="M21" s="46">
        <f>D21*COS(RADIANS($H$21))*L21</f>
        <v>0.59204664890472447</v>
      </c>
      <c r="N21" s="50">
        <f>(SIN(RADIANS($H$21))/$F$14)*(1+(J21/K21))</f>
        <v>3.2356860886620688E-2</v>
      </c>
      <c r="O21" s="50">
        <f>(COS(RADIANS($H$21))/$F$14)*(1+(J21/K21))</f>
        <v>0.12075744880230656</v>
      </c>
      <c r="P21" s="50">
        <f>1/K21</f>
        <v>0.42241380291947672</v>
      </c>
      <c r="Q21" s="50">
        <f>(($F$14*$F$16/K21)-(J21+K21))/($F$14^2)</f>
        <v>-1.8500020335103937E-2</v>
      </c>
      <c r="R21" s="51">
        <f>SQRT(((N21*0.001)^2)+((O21*RADIANS(7.5))^2)+((P21*0.0005)^2))</f>
        <v>1.5808557156869463E-2</v>
      </c>
      <c r="S21" s="50">
        <f>COS(RADIANS($H$21))*L21+D21*COS(RADIANS($H$21))*N21</f>
        <v>0.35060248254814785</v>
      </c>
      <c r="T21" s="50">
        <f>-D21*SIN(RADIANS($H$21))*L21+D21*COS(RADIANS($H$21))*O21</f>
        <v>8.2928690008842204E-2</v>
      </c>
      <c r="U21" s="50">
        <f>D21*COS(RADIANS($H$21))*P21</f>
        <v>0.8450102517568906</v>
      </c>
      <c r="V21" s="50">
        <f>D21*COS(RADIANS($H$21))*Q21</f>
        <v>-3.7008039824526717E-2</v>
      </c>
      <c r="W21" s="51">
        <f>SQRT(((S21*0.001)^2)+((T21*RADIANS(7.5))^2)+((U21*0.0005)^2))</f>
        <v>1.0869215343631809E-2</v>
      </c>
    </row>
    <row r="22" spans="2:23" x14ac:dyDescent="0.35">
      <c r="B22" s="40"/>
      <c r="C22" s="2">
        <v>2</v>
      </c>
      <c r="D22" s="2">
        <v>1.968</v>
      </c>
      <c r="E22" s="12">
        <f>(D22*SIN(RADIANS($C$19))+SQRT((D22*SIN(RADIANS($C$19)))^2+2*$F$14*$F$16))/$F$14</f>
        <v>0.2926411361918691</v>
      </c>
      <c r="F22" s="13">
        <f t="shared" si="11"/>
        <v>0.55629383436357216</v>
      </c>
      <c r="I22" s="44">
        <v>2</v>
      </c>
      <c r="J22" s="45">
        <f>D22*SIN(RADIANS($H$21))</f>
        <v>0.50935588076176086</v>
      </c>
      <c r="K22" s="45">
        <f t="shared" ref="K22:K71" si="12">SQRT((J22^2)+2*$F$14*$F$16)</f>
        <v>2.3614536652804747</v>
      </c>
      <c r="L22" s="45">
        <f t="shared" ref="L22:L71" si="13">(J22+K22)/$F$14</f>
        <v>0.2926411361918691</v>
      </c>
      <c r="M22" s="46">
        <f>D22*COS(RADIANS($H$21))*L22</f>
        <v>0.55629383436357216</v>
      </c>
      <c r="N22" s="50">
        <f>(SIN(RADIANS($H$21))/$F$14)*(1+(J22/K22))</f>
        <v>3.2073929944291479E-2</v>
      </c>
      <c r="O22" s="50">
        <f>(COS(RADIANS($H$21))/$F$14)*(1+(J22/K22))</f>
        <v>0.1197015361505006</v>
      </c>
      <c r="P22" s="50">
        <f t="shared" ref="P22:P71" si="14">1/K22</f>
        <v>0.42346797428321675</v>
      </c>
      <c r="Q22" s="50">
        <f t="shared" ref="Q22:Q25" si="15">(($F$14*$F$16/K22)-(J22+K22))/($F$14^2)</f>
        <v>-1.8132651902254569E-2</v>
      </c>
      <c r="R22" s="51">
        <f t="shared" ref="R22:R71" si="16">SQRT(((N22*0.001)^2)+((O22*RADIANS(7.5))^2)+((P22*0.0005)^2))</f>
        <v>1.567035778258823E-2</v>
      </c>
      <c r="S22" s="50">
        <f>COS(RADIANS($H$21))*L22+D22*COS(RADIANS($H$21))*N22</f>
        <v>0.34364031265677691</v>
      </c>
      <c r="T22" s="50">
        <f t="shared" ref="T22:T26" si="17">-D22*SIN(RADIANS($H$21))*L22+D22*COS(RADIANS($H$21))*O22</f>
        <v>7.8487196989498464E-2</v>
      </c>
      <c r="U22" s="50">
        <f>D22*COS(RADIANS($H$21))*P22</f>
        <v>0.80498806903802089</v>
      </c>
      <c r="V22" s="50">
        <f>D22*COS(RADIANS($H$21))*Q22</f>
        <v>-3.4469120046306666E-2</v>
      </c>
      <c r="W22" s="51">
        <f t="shared" ref="W22:W71" si="18">SQRT(((S22*0.001)^2)+((T22*RADIANS(7.5))^2)+((U22*0.0005)^2))</f>
        <v>1.0287572112380362E-2</v>
      </c>
    </row>
    <row r="23" spans="2:23" x14ac:dyDescent="0.35">
      <c r="B23" s="40"/>
      <c r="C23" s="2">
        <v>3</v>
      </c>
      <c r="D23" s="2">
        <v>1.9690000000000001</v>
      </c>
      <c r="E23" s="12">
        <f t="shared" si="10"/>
        <v>0.29267321150033376</v>
      </c>
      <c r="F23" s="13">
        <f t="shared" si="11"/>
        <v>0.55663750827908509</v>
      </c>
      <c r="I23" s="44">
        <v>3</v>
      </c>
      <c r="J23" s="45">
        <f>D23*SIN(RADIANS($H$21))</f>
        <v>0.50961469980686336</v>
      </c>
      <c r="K23" s="45">
        <f t="shared" si="12"/>
        <v>2.3615095050114112</v>
      </c>
      <c r="L23" s="45">
        <f t="shared" si="13"/>
        <v>0.29267321150033376</v>
      </c>
      <c r="M23" s="46">
        <f>D23*COS(RADIANS($H$21))*L23</f>
        <v>0.55663750827908509</v>
      </c>
      <c r="N23" s="50">
        <f>(SIN(RADIANS($H$21))/$F$14)*(1+(J23/K23))</f>
        <v>3.2076686952500093E-2</v>
      </c>
      <c r="O23" s="50">
        <f>(COS(RADIANS($H$21))/$F$14)*(1+(J23/K23))</f>
        <v>0.11971182544521203</v>
      </c>
      <c r="P23" s="50">
        <f t="shared" si="14"/>
        <v>0.42345796105324923</v>
      </c>
      <c r="Q23" s="50">
        <f t="shared" si="15"/>
        <v>-1.8136198170734273E-2</v>
      </c>
      <c r="R23" s="51">
        <f t="shared" si="16"/>
        <v>1.567170446035444E-2</v>
      </c>
      <c r="S23" s="50">
        <f>COS(RADIANS($H$21))*L23+D23*COS(RADIANS($H$21))*N23</f>
        <v>0.34370751963872848</v>
      </c>
      <c r="T23" s="50">
        <f t="shared" si="17"/>
        <v>7.8530301938023184E-2</v>
      </c>
      <c r="U23" s="50">
        <f>D23*COS(RADIANS($H$21))*P23</f>
        <v>0.80537806344928742</v>
      </c>
      <c r="V23" s="50">
        <f>D23*COS(RADIANS($H$21))*Q23</f>
        <v>-3.4493379519299511E-2</v>
      </c>
      <c r="W23" s="51">
        <f t="shared" si="18"/>
        <v>1.0293216940483657E-2</v>
      </c>
    </row>
    <row r="24" spans="2:23" x14ac:dyDescent="0.35">
      <c r="B24" s="40"/>
      <c r="C24" s="2">
        <v>4</v>
      </c>
      <c r="D24" s="2">
        <v>2.024</v>
      </c>
      <c r="E24" s="12">
        <f t="shared" si="10"/>
        <v>0.2944415936565476</v>
      </c>
      <c r="F24" s="13">
        <f t="shared" si="11"/>
        <v>0.57564328904465933</v>
      </c>
      <c r="I24" s="44">
        <v>4</v>
      </c>
      <c r="J24" s="45">
        <f>D24*SIN(RADIANS($H$21))</f>
        <v>0.523849747287502</v>
      </c>
      <c r="K24" s="45">
        <f t="shared" si="12"/>
        <v>2.3646222864832303</v>
      </c>
      <c r="L24" s="45">
        <f t="shared" si="13"/>
        <v>0.2944415936565476</v>
      </c>
      <c r="M24" s="46">
        <f>D24*COS(RADIANS($H$21))*L24</f>
        <v>0.57564328904465933</v>
      </c>
      <c r="N24" s="50">
        <f>(SIN(RADIANS($H$21))/$F$14)*(1+(J24/K24))</f>
        <v>3.2228019055842785E-2</v>
      </c>
      <c r="O24" s="50">
        <f>(COS(RADIANS($H$21))/$F$14)*(1+(J24/K24))</f>
        <v>0.12027660454370324</v>
      </c>
      <c r="P24" s="50">
        <f t="shared" si="14"/>
        <v>0.42290052230170078</v>
      </c>
      <c r="Q24" s="50">
        <f t="shared" si="15"/>
        <v>-1.8331860561955828E-2</v>
      </c>
      <c r="R24" s="51">
        <f t="shared" si="16"/>
        <v>1.5745623565209668E-2</v>
      </c>
      <c r="S24" s="50">
        <f>COS(RADIANS($H$21))*L24+D24*COS(RADIANS($H$21))*N24</f>
        <v>0.34741560854138859</v>
      </c>
      <c r="T24" s="50">
        <f t="shared" si="17"/>
        <v>8.0901681513379203E-2</v>
      </c>
      <c r="U24" s="50">
        <f>D24*COS(RADIANS($H$21))*P24</f>
        <v>0.82678484575931421</v>
      </c>
      <c r="V24" s="50">
        <f>D24*COS(RADIANS($H$21))*Q24</f>
        <v>-3.5839408342903688E-2</v>
      </c>
      <c r="W24" s="51">
        <f t="shared" si="18"/>
        <v>1.0603763677580659E-2</v>
      </c>
    </row>
    <row r="25" spans="2:23" x14ac:dyDescent="0.35">
      <c r="B25" s="40"/>
      <c r="C25" s="2">
        <v>5</v>
      </c>
      <c r="D25" s="2">
        <v>1.923</v>
      </c>
      <c r="E25" s="12">
        <f t="shared" si="10"/>
        <v>0.29120060387086488</v>
      </c>
      <c r="F25" s="13">
        <f t="shared" si="11"/>
        <v>0.54089794765862387</v>
      </c>
      <c r="I25" s="44">
        <v>5</v>
      </c>
      <c r="J25" s="45">
        <f>D25*SIN(RADIANS($H$21))</f>
        <v>0.49770902373214737</v>
      </c>
      <c r="K25" s="45">
        <f t="shared" si="12"/>
        <v>2.3589689002410372</v>
      </c>
      <c r="L25" s="45">
        <f t="shared" si="13"/>
        <v>0.29120060387086488</v>
      </c>
      <c r="M25" s="46">
        <f>D25*COS(RADIANS($H$21))*L25</f>
        <v>0.54089794765862387</v>
      </c>
      <c r="N25" s="50">
        <f>(SIN(RADIANS($H$21))/$F$14)*(1+(J25/K25))</f>
        <v>3.1949663354796071E-2</v>
      </c>
      <c r="O25" s="50">
        <f>(COS(RADIANS($H$21))/$F$14)*(1+(J25/K25))</f>
        <v>0.11923776692482045</v>
      </c>
      <c r="P25" s="50">
        <f t="shared" si="14"/>
        <v>0.42391402442729148</v>
      </c>
      <c r="Q25" s="50">
        <f t="shared" si="15"/>
        <v>-1.7973486569935665E-2</v>
      </c>
      <c r="R25" s="51">
        <f t="shared" si="16"/>
        <v>1.5609658995891991E-2</v>
      </c>
      <c r="S25" s="50">
        <f>COS(RADIANS($H$21))*L25+D25*COS(RADIANS($H$21))*N25</f>
        <v>0.34062389647799457</v>
      </c>
      <c r="T25" s="50">
        <f t="shared" si="17"/>
        <v>7.6548046252948643E-2</v>
      </c>
      <c r="U25" s="50">
        <f>D25*COS(RADIANS($H$21))*P25</f>
        <v>0.7874098568082365</v>
      </c>
      <c r="V25" s="50">
        <f>D25*COS(RADIANS($H$21))*Q25</f>
        <v>-3.3385308508011392E-2</v>
      </c>
      <c r="W25" s="51">
        <f t="shared" si="18"/>
        <v>1.0033630913994727E-2</v>
      </c>
    </row>
    <row r="26" spans="2:23" ht="15" thickBot="1" x14ac:dyDescent="0.4">
      <c r="B26" s="42"/>
      <c r="C26" s="14">
        <v>6</v>
      </c>
      <c r="D26" s="14">
        <v>1.978</v>
      </c>
      <c r="E26" s="15">
        <f t="shared" si="10"/>
        <v>0.29296201331398997</v>
      </c>
      <c r="F26" s="16">
        <f t="shared" si="11"/>
        <v>0.55973359891805385</v>
      </c>
      <c r="I26" s="44">
        <v>6</v>
      </c>
      <c r="J26" s="45">
        <f>D26*SIN(RADIANS($H$21))</f>
        <v>0.51194407121278607</v>
      </c>
      <c r="K26" s="45">
        <f t="shared" si="12"/>
        <v>2.3620132793974555</v>
      </c>
      <c r="L26" s="45">
        <f t="shared" si="13"/>
        <v>0.29296201331398997</v>
      </c>
      <c r="M26" s="46">
        <f>D26*COS(RADIANS($H$21))*L26</f>
        <v>0.55973359891805385</v>
      </c>
      <c r="N26" s="50">
        <f>(SIN(RADIANS($H$21))/$F$14)*(1+(J26/K26))</f>
        <v>3.2101491214554655E-2</v>
      </c>
      <c r="O26" s="50">
        <f>(COS(RADIANS($H$21))/$F$14)*(1+(J26/K26))</f>
        <v>0.11980439621144391</v>
      </c>
      <c r="P26" s="50">
        <f t="shared" si="14"/>
        <v>0.42336764518745545</v>
      </c>
      <c r="Q26" s="50">
        <f>(($F$14*$F$16/K26)-(J26+K26))/($F$14^2)</f>
        <v>-1.8168132667501481E-2</v>
      </c>
      <c r="R26" s="51">
        <f t="shared" si="16"/>
        <v>1.5683820256060462E-2</v>
      </c>
      <c r="S26" s="50">
        <f>COS(RADIANS($H$21))*L26+D26*COS(RADIANS($H$21))*N26</f>
        <v>0.34431272512730104</v>
      </c>
      <c r="T26" s="50">
        <f t="shared" si="17"/>
        <v>7.8918267471666054E-2</v>
      </c>
      <c r="U26" s="50">
        <f>D26*COS(RADIANS($H$21))*P26</f>
        <v>0.80888676666846149</v>
      </c>
      <c r="V26" s="50">
        <f>D26*COS(RADIANS($H$21))*Q26</f>
        <v>-3.4712057609673878E-2</v>
      </c>
      <c r="W26" s="51">
        <f t="shared" si="18"/>
        <v>1.034402319235983E-2</v>
      </c>
    </row>
    <row r="27" spans="2:23" x14ac:dyDescent="0.35">
      <c r="B27" s="41" t="s">
        <v>10</v>
      </c>
      <c r="C27" s="10" t="s">
        <v>12</v>
      </c>
      <c r="D27" s="11" t="s">
        <v>2</v>
      </c>
      <c r="E27" s="17"/>
      <c r="F27" s="18"/>
      <c r="I27" s="44"/>
      <c r="J27" s="45"/>
      <c r="K27" s="45"/>
      <c r="L27" s="45"/>
      <c r="M27" s="46"/>
      <c r="N27" s="44"/>
      <c r="O27" s="44"/>
      <c r="P27" s="44"/>
      <c r="Q27" s="44"/>
      <c r="R27" s="44"/>
      <c r="S27" s="44"/>
      <c r="T27" s="44"/>
      <c r="U27" s="44"/>
      <c r="V27" s="44"/>
      <c r="W27" s="44"/>
    </row>
    <row r="28" spans="2:23" x14ac:dyDescent="0.35">
      <c r="B28" s="40"/>
      <c r="C28" s="19">
        <v>1</v>
      </c>
      <c r="D28" s="20">
        <v>0.50600000000000001</v>
      </c>
      <c r="E28" s="17"/>
      <c r="F28" s="18"/>
      <c r="I28" s="44"/>
      <c r="J28" s="45"/>
      <c r="K28" s="45"/>
      <c r="L28" s="45"/>
      <c r="M28" s="46"/>
      <c r="N28" s="44"/>
      <c r="O28" s="44"/>
      <c r="P28" s="44"/>
      <c r="Q28" s="44"/>
      <c r="R28" s="44"/>
      <c r="S28" s="44"/>
      <c r="T28" s="44"/>
      <c r="U28" s="44"/>
      <c r="V28" s="44"/>
      <c r="W28" s="44"/>
    </row>
    <row r="29" spans="2:23" ht="15" thickBot="1" x14ac:dyDescent="0.4">
      <c r="B29" s="40"/>
      <c r="C29" s="19">
        <v>2</v>
      </c>
      <c r="D29" s="20">
        <v>0.49199999999999999</v>
      </c>
      <c r="E29" s="17"/>
      <c r="F29" s="18"/>
      <c r="I29" s="44"/>
      <c r="J29" s="45"/>
      <c r="K29" s="45"/>
      <c r="L29" s="45"/>
      <c r="M29" s="46"/>
      <c r="N29" s="44"/>
      <c r="O29" s="44"/>
      <c r="P29" s="44"/>
      <c r="Q29" s="44"/>
      <c r="R29" s="44"/>
      <c r="S29" s="44"/>
      <c r="T29" s="44"/>
      <c r="U29" s="44"/>
      <c r="V29" s="44"/>
      <c r="W29" s="44"/>
    </row>
    <row r="30" spans="2:23" x14ac:dyDescent="0.35">
      <c r="B30" s="40"/>
      <c r="C30" s="2">
        <v>3</v>
      </c>
      <c r="D30" s="25">
        <v>0.47499999999999998</v>
      </c>
      <c r="E30" s="34" t="s">
        <v>13</v>
      </c>
      <c r="F30" s="36" t="s">
        <v>14</v>
      </c>
      <c r="I30" s="44"/>
      <c r="J30" s="45"/>
      <c r="K30" s="45"/>
      <c r="L30" s="45"/>
      <c r="M30" s="46"/>
      <c r="N30" s="44"/>
      <c r="O30" s="44"/>
      <c r="P30" s="44"/>
      <c r="Q30" s="44"/>
      <c r="R30" s="44"/>
      <c r="S30" s="44"/>
      <c r="T30" s="44"/>
      <c r="U30" s="44"/>
      <c r="V30" s="44"/>
      <c r="W30" s="44"/>
    </row>
    <row r="31" spans="2:23" x14ac:dyDescent="0.35">
      <c r="B31" s="40"/>
      <c r="C31" s="2">
        <v>4</v>
      </c>
      <c r="D31" s="25">
        <v>0.48099999999999998</v>
      </c>
      <c r="E31" s="35" t="s">
        <v>13</v>
      </c>
      <c r="F31" s="37" t="s">
        <v>14</v>
      </c>
      <c r="I31" s="44"/>
      <c r="J31" s="45"/>
      <c r="K31" s="45"/>
      <c r="L31" s="45"/>
      <c r="M31" s="46"/>
      <c r="N31" s="44"/>
      <c r="O31" s="44"/>
      <c r="P31" s="44"/>
      <c r="Q31" s="44"/>
      <c r="R31" s="44"/>
      <c r="S31" s="44"/>
      <c r="T31" s="44"/>
      <c r="U31" s="44"/>
      <c r="V31" s="44"/>
      <c r="W31" s="44"/>
    </row>
    <row r="32" spans="2:23" x14ac:dyDescent="0.35">
      <c r="B32" s="40"/>
      <c r="C32" s="2">
        <v>5</v>
      </c>
      <c r="D32" s="25">
        <v>0.44600000000000001</v>
      </c>
      <c r="E32" s="26" t="s">
        <v>5</v>
      </c>
      <c r="F32" s="21">
        <v>9.81</v>
      </c>
      <c r="I32" s="44"/>
      <c r="J32" s="45"/>
      <c r="K32" s="45"/>
      <c r="L32" s="45"/>
      <c r="M32" s="46"/>
      <c r="N32" s="44"/>
      <c r="O32" s="44"/>
      <c r="P32" s="44"/>
      <c r="Q32" s="44"/>
      <c r="R32" s="44"/>
      <c r="S32" s="44"/>
      <c r="T32" s="44"/>
      <c r="U32" s="44"/>
      <c r="V32" s="44"/>
      <c r="W32" s="44"/>
    </row>
    <row r="33" spans="2:23" ht="15" thickBot="1" x14ac:dyDescent="0.4">
      <c r="B33" s="42"/>
      <c r="C33" s="23">
        <v>6</v>
      </c>
      <c r="D33" s="28">
        <v>0.45200000000000001</v>
      </c>
      <c r="E33" s="26" t="s">
        <v>6</v>
      </c>
      <c r="F33" s="21">
        <v>6.4219999999999999E-2</v>
      </c>
      <c r="I33" s="44"/>
      <c r="J33" s="45"/>
      <c r="K33" s="45"/>
      <c r="L33" s="45"/>
      <c r="M33" s="46"/>
      <c r="N33" s="44"/>
      <c r="O33" s="44"/>
      <c r="P33" s="44"/>
      <c r="Q33" s="44"/>
      <c r="R33" s="44"/>
      <c r="S33" s="44"/>
      <c r="T33" s="44"/>
      <c r="U33" s="44"/>
      <c r="V33" s="44"/>
      <c r="W33" s="44"/>
    </row>
    <row r="34" spans="2:23" x14ac:dyDescent="0.35">
      <c r="B34" s="41" t="s">
        <v>11</v>
      </c>
      <c r="C34" s="10" t="s">
        <v>17</v>
      </c>
      <c r="D34" s="31" t="s">
        <v>3</v>
      </c>
      <c r="E34" s="26" t="s">
        <v>7</v>
      </c>
      <c r="F34" s="21">
        <v>0.27100000000000002</v>
      </c>
      <c r="I34" s="44"/>
      <c r="J34" s="45"/>
      <c r="K34" s="45"/>
      <c r="L34" s="45"/>
      <c r="M34" s="46"/>
      <c r="N34" s="44"/>
      <c r="O34" s="44"/>
      <c r="P34" s="44"/>
      <c r="Q34" s="44"/>
      <c r="R34" s="44"/>
      <c r="S34" s="44"/>
      <c r="T34" s="44"/>
      <c r="U34" s="44"/>
      <c r="V34" s="44"/>
      <c r="W34" s="44"/>
    </row>
    <row r="35" spans="2:23" ht="15" thickBot="1" x14ac:dyDescent="0.4">
      <c r="B35" s="42"/>
      <c r="C35" s="14">
        <v>1</v>
      </c>
      <c r="D35" s="24">
        <v>0.503</v>
      </c>
      <c r="E35" s="27" t="s">
        <v>8</v>
      </c>
      <c r="F35" s="22">
        <v>0.108</v>
      </c>
      <c r="I35" s="44"/>
      <c r="J35" s="45"/>
      <c r="K35" s="45"/>
      <c r="L35" s="45"/>
      <c r="M35" s="46"/>
      <c r="N35" s="44"/>
      <c r="O35" s="44"/>
      <c r="P35" s="44"/>
      <c r="Q35" s="44"/>
      <c r="R35" s="44"/>
      <c r="S35" s="44"/>
      <c r="T35" s="44"/>
      <c r="U35" s="44"/>
      <c r="V35" s="44"/>
      <c r="W35" s="44"/>
    </row>
    <row r="36" spans="2:23" ht="15" thickBot="1" x14ac:dyDescent="0.4">
      <c r="B36" s="32"/>
      <c r="I36" s="44"/>
      <c r="J36" s="45"/>
      <c r="K36" s="45"/>
      <c r="L36" s="45"/>
      <c r="M36" s="46"/>
      <c r="N36" s="44"/>
      <c r="O36" s="44"/>
      <c r="P36" s="44"/>
      <c r="Q36" s="44"/>
      <c r="R36" s="44"/>
      <c r="S36" s="44"/>
      <c r="T36" s="44"/>
      <c r="U36" s="44"/>
      <c r="V36" s="44"/>
      <c r="W36" s="44"/>
    </row>
    <row r="37" spans="2:23" ht="15" thickBot="1" x14ac:dyDescent="0.4">
      <c r="B37" s="6" t="s">
        <v>0</v>
      </c>
      <c r="C37" s="7">
        <v>30</v>
      </c>
      <c r="D37" s="8"/>
      <c r="E37" s="8"/>
      <c r="F37" s="9"/>
      <c r="I37" s="44"/>
      <c r="J37" s="45"/>
      <c r="K37" s="45"/>
      <c r="L37" s="45"/>
      <c r="M37" s="46"/>
      <c r="N37" s="44"/>
      <c r="O37" s="44"/>
      <c r="P37" s="44"/>
      <c r="Q37" s="44"/>
      <c r="R37" s="44"/>
      <c r="S37" s="44"/>
      <c r="T37" s="44"/>
      <c r="U37" s="44"/>
      <c r="V37" s="44"/>
      <c r="W37" s="44"/>
    </row>
    <row r="38" spans="2:23" x14ac:dyDescent="0.35">
      <c r="B38" s="41" t="s">
        <v>9</v>
      </c>
      <c r="C38" s="10" t="s">
        <v>12</v>
      </c>
      <c r="D38" s="10" t="s">
        <v>15</v>
      </c>
      <c r="E38" s="10" t="s">
        <v>16</v>
      </c>
      <c r="F38" s="11" t="s">
        <v>1</v>
      </c>
      <c r="I38" s="44" t="s">
        <v>21</v>
      </c>
      <c r="J38" s="44" t="s">
        <v>22</v>
      </c>
      <c r="K38" s="44" t="s">
        <v>23</v>
      </c>
      <c r="L38" s="44" t="s">
        <v>24</v>
      </c>
      <c r="M38" s="44" t="s">
        <v>25</v>
      </c>
      <c r="N38" s="44" t="s">
        <v>26</v>
      </c>
      <c r="O38" s="44" t="s">
        <v>27</v>
      </c>
      <c r="P38" s="44" t="s">
        <v>28</v>
      </c>
      <c r="Q38" s="44" t="s">
        <v>29</v>
      </c>
      <c r="R38" s="47" t="s">
        <v>30</v>
      </c>
      <c r="S38" s="44" t="s">
        <v>31</v>
      </c>
      <c r="T38" s="44" t="s">
        <v>32</v>
      </c>
      <c r="U38" s="44" t="s">
        <v>33</v>
      </c>
      <c r="V38" s="44" t="s">
        <v>34</v>
      </c>
      <c r="W38" s="47" t="s">
        <v>35</v>
      </c>
    </row>
    <row r="39" spans="2:23" x14ac:dyDescent="0.35">
      <c r="B39" s="40"/>
      <c r="C39" s="2">
        <v>1</v>
      </c>
      <c r="D39" s="2">
        <v>1.9319999999999999</v>
      </c>
      <c r="E39" s="12">
        <f t="shared" ref="E39:E44" si="19">(D39*SIN(RADIANS($C$37))+SQRT((D39*SIN(RADIANS($C$37)))^2+2*$F$14*$F$16))/$F$14</f>
        <v>0.35331653412356728</v>
      </c>
      <c r="F39" s="13">
        <f t="shared" ref="F39:F44" si="20">D39*E39*COS(RADIANS($C$37))</f>
        <v>0.59115547385545197</v>
      </c>
      <c r="H39">
        <v>30</v>
      </c>
      <c r="I39" s="44"/>
      <c r="J39" s="45">
        <f>D39*SIN(RADIANS($H$39))</f>
        <v>0.96599999999999986</v>
      </c>
      <c r="K39" s="45">
        <f>SQRT((J39^2)+2*$F$14*$F$16)</f>
        <v>2.5000351997521952</v>
      </c>
      <c r="L39" s="45">
        <f t="shared" si="13"/>
        <v>0.35331653412356728</v>
      </c>
      <c r="M39" s="46">
        <f>D39*COS(RADIANS($H$39))*L39</f>
        <v>0.59115547385545208</v>
      </c>
      <c r="N39" s="50">
        <f>(SIN(RADIANS($H$39))/$F$14)*(1+(J39/K39))</f>
        <v>7.0662311906365988E-2</v>
      </c>
      <c r="O39" s="50">
        <f>(COS(RADIANS($H$39))/$F$14)*(1+(J39/K39))</f>
        <v>0.12239071440210514</v>
      </c>
      <c r="P39" s="50">
        <f t="shared" si="14"/>
        <v>0.39999436811894507</v>
      </c>
      <c r="Q39" s="50">
        <f t="shared" ref="Q27:Q71" si="21">(($F$14*$F$16/K39)-(J39+K39))/($F$14^2)</f>
        <v>-2.4966163135915712E-2</v>
      </c>
      <c r="R39" s="51">
        <f t="shared" si="16"/>
        <v>1.6022311156169072E-2</v>
      </c>
      <c r="S39" s="50">
        <f>COS(RADIANS($H$39))*L39+D39*COS(RADIANS($H$39))*N39</f>
        <v>0.42421052424051431</v>
      </c>
      <c r="T39" s="50">
        <f>-D39*SIN(RADIANS($H$39))*L39+D39*COS(RADIANS($H$39))*O39</f>
        <v>-0.13652439205871722</v>
      </c>
      <c r="U39" s="50">
        <f>D39*COS(RADIANS($H$39))*P39</f>
        <v>0.66925500900042523</v>
      </c>
      <c r="V39" s="50">
        <f>D39*COS(RADIANS($H$39))*Q39</f>
        <v>-4.1772412478729537E-2</v>
      </c>
      <c r="W39" s="51">
        <f t="shared" si="18"/>
        <v>1.7879166969835127E-2</v>
      </c>
    </row>
    <row r="40" spans="2:23" x14ac:dyDescent="0.35">
      <c r="B40" s="40"/>
      <c r="C40" s="2">
        <v>2</v>
      </c>
      <c r="D40" s="2">
        <v>1.8580000000000001</v>
      </c>
      <c r="E40" s="12">
        <f t="shared" si="19"/>
        <v>0.34811140140675156</v>
      </c>
      <c r="F40" s="13">
        <f t="shared" si="20"/>
        <v>0.56013742292143243</v>
      </c>
      <c r="I40" s="44"/>
      <c r="J40" s="45">
        <f t="shared" ref="J40:J44" si="22">D40*SIN(RADIANS($H$39))</f>
        <v>0.92899999999999994</v>
      </c>
      <c r="K40" s="45">
        <f t="shared" ref="K40:K44" si="23">SQRT((J40^2)+2*$F$14*$F$16)</f>
        <v>2.485972847800233</v>
      </c>
      <c r="L40" s="45">
        <f t="shared" si="13"/>
        <v>0.34811140140675156</v>
      </c>
      <c r="M40" s="46">
        <f t="shared" ref="M40:M44" si="24">D40*COS(RADIANS($H$39))*L40</f>
        <v>0.56013742292143243</v>
      </c>
      <c r="N40" s="50">
        <f t="shared" ref="N40:N44" si="25">(SIN(RADIANS($H$39))/$F$14)*(1+(J40/K40))</f>
        <v>7.0015125409512297E-2</v>
      </c>
      <c r="O40" s="50">
        <f t="shared" ref="O40:O44" si="26">(COS(RADIANS($H$39))/$F$14)*(1+(J40/K40))</f>
        <v>0.12126975450758203</v>
      </c>
      <c r="P40" s="50">
        <f t="shared" si="14"/>
        <v>0.40225700811047543</v>
      </c>
      <c r="Q40" s="50">
        <f t="shared" si="21"/>
        <v>-2.4373063425974794E-2</v>
      </c>
      <c r="R40" s="51">
        <f t="shared" si="16"/>
        <v>1.5875602251812625E-2</v>
      </c>
      <c r="S40" s="50">
        <f t="shared" ref="S40:S44" si="27">COS(RADIANS($H$39))*L40+D40*COS(RADIANS($H$39))*N40</f>
        <v>0.41413291890279258</v>
      </c>
      <c r="T40" s="50">
        <f t="shared" ref="T40:T44" si="28">-D40*SIN(RADIANS($H$39))*L40+D40*COS(RADIANS($H$39))*O40</f>
        <v>-0.12826333739056131</v>
      </c>
      <c r="U40" s="50">
        <f t="shared" ref="U40:U44" si="29">D40*COS(RADIANS($H$39))*P40</f>
        <v>0.64726177586988221</v>
      </c>
      <c r="V40" s="50">
        <f t="shared" ref="V40:V44" si="30">D40*COS(RADIANS($H$39))*Q40</f>
        <v>-3.9218091912405127E-2</v>
      </c>
      <c r="W40" s="51">
        <f t="shared" si="18"/>
        <v>1.6797856184327112E-2</v>
      </c>
    </row>
    <row r="41" spans="2:23" x14ac:dyDescent="0.35">
      <c r="B41" s="40"/>
      <c r="C41" s="2">
        <v>3</v>
      </c>
      <c r="D41" s="2">
        <v>1.865</v>
      </c>
      <c r="E41" s="12">
        <f t="shared" si="19"/>
        <v>0.34860172325172867</v>
      </c>
      <c r="F41" s="13">
        <f t="shared" si="20"/>
        <v>0.56303967327929005</v>
      </c>
      <c r="I41" s="44"/>
      <c r="J41" s="45">
        <f t="shared" si="22"/>
        <v>0.93249999999999988</v>
      </c>
      <c r="K41" s="45">
        <f t="shared" si="23"/>
        <v>2.487282905099458</v>
      </c>
      <c r="L41" s="45">
        <f t="shared" si="13"/>
        <v>0.34860172325172867</v>
      </c>
      <c r="M41" s="46">
        <f t="shared" si="24"/>
        <v>0.56303967327928994</v>
      </c>
      <c r="N41" s="50">
        <f t="shared" si="25"/>
        <v>7.0076814048177033E-2</v>
      </c>
      <c r="O41" s="50">
        <f t="shared" si="26"/>
        <v>0.12137660236399911</v>
      </c>
      <c r="P41" s="50">
        <f t="shared" si="14"/>
        <v>0.40204513847210049</v>
      </c>
      <c r="Q41" s="50">
        <f t="shared" si="21"/>
        <v>-2.4428898137185465E-2</v>
      </c>
      <c r="R41" s="51">
        <f t="shared" si="16"/>
        <v>1.5889586277493331E-2</v>
      </c>
      <c r="S41" s="50">
        <f t="shared" si="27"/>
        <v>0.41508162984345864</v>
      </c>
      <c r="T41" s="50">
        <f t="shared" si="28"/>
        <v>-0.12903121963246164</v>
      </c>
      <c r="U41" s="50">
        <f t="shared" si="29"/>
        <v>0.64935813081278515</v>
      </c>
      <c r="V41" s="50">
        <f t="shared" si="30"/>
        <v>-3.9456026486139155E-2</v>
      </c>
      <c r="W41" s="51">
        <f t="shared" si="18"/>
        <v>1.6898366196698142E-2</v>
      </c>
    </row>
    <row r="42" spans="2:23" x14ac:dyDescent="0.35">
      <c r="B42" s="40"/>
      <c r="C42" s="2">
        <v>4</v>
      </c>
      <c r="D42" s="2">
        <v>1.855</v>
      </c>
      <c r="E42" s="12">
        <f t="shared" si="19"/>
        <v>0.34790139572778644</v>
      </c>
      <c r="F42" s="13">
        <f t="shared" si="20"/>
        <v>0.55889563365136485</v>
      </c>
      <c r="I42" s="44"/>
      <c r="J42" s="45">
        <f t="shared" si="22"/>
        <v>0.92749999999999988</v>
      </c>
      <c r="K42" s="45">
        <f t="shared" si="23"/>
        <v>2.4854126920895854</v>
      </c>
      <c r="L42" s="45">
        <f t="shared" si="13"/>
        <v>0.34790139572778644</v>
      </c>
      <c r="M42" s="46">
        <f t="shared" si="24"/>
        <v>0.55889563365136485</v>
      </c>
      <c r="N42" s="50">
        <f t="shared" si="25"/>
        <v>6.9988657584928449E-2</v>
      </c>
      <c r="O42" s="50">
        <f t="shared" si="26"/>
        <v>0.12122391089063698</v>
      </c>
      <c r="P42" s="50">
        <f t="shared" si="14"/>
        <v>0.40234766772646524</v>
      </c>
      <c r="Q42" s="50">
        <f t="shared" si="21"/>
        <v>-2.4349151658910741E-2</v>
      </c>
      <c r="R42" s="51">
        <f t="shared" si="16"/>
        <v>1.5869602334376943E-2</v>
      </c>
      <c r="S42" s="50">
        <f t="shared" si="27"/>
        <v>0.41372662406339183</v>
      </c>
      <c r="T42" s="50">
        <f t="shared" si="28"/>
        <v>-0.12793510480745837</v>
      </c>
      <c r="U42" s="50">
        <f t="shared" si="29"/>
        <v>0.64636232410542027</v>
      </c>
      <c r="V42" s="50">
        <f t="shared" si="30"/>
        <v>-3.9116355129336998E-2</v>
      </c>
      <c r="W42" s="51">
        <f t="shared" si="18"/>
        <v>1.6754893012233565E-2</v>
      </c>
    </row>
    <row r="43" spans="2:23" x14ac:dyDescent="0.35">
      <c r="B43" s="40"/>
      <c r="C43" s="2">
        <v>5</v>
      </c>
      <c r="D43" s="2">
        <v>1.87</v>
      </c>
      <c r="E43" s="12">
        <f t="shared" si="19"/>
        <v>0.34895221735169701</v>
      </c>
      <c r="F43" s="13">
        <f t="shared" si="20"/>
        <v>0.56511677682560502</v>
      </c>
      <c r="I43" s="44"/>
      <c r="J43" s="45">
        <f t="shared" si="22"/>
        <v>0.93499999999999994</v>
      </c>
      <c r="K43" s="45">
        <f t="shared" si="23"/>
        <v>2.4882212522201477</v>
      </c>
      <c r="L43" s="45">
        <f t="shared" si="13"/>
        <v>0.34895221735169701</v>
      </c>
      <c r="M43" s="46">
        <f t="shared" si="24"/>
        <v>0.56511677682560513</v>
      </c>
      <c r="N43" s="50">
        <f t="shared" si="25"/>
        <v>7.0120817640380625E-2</v>
      </c>
      <c r="O43" s="50">
        <f t="shared" si="26"/>
        <v>0.12145281882141126</v>
      </c>
      <c r="P43" s="50">
        <f t="shared" si="14"/>
        <v>0.40189352096713143</v>
      </c>
      <c r="Q43" s="50">
        <f t="shared" si="21"/>
        <v>-2.4468814798124811E-2</v>
      </c>
      <c r="R43" s="51">
        <f t="shared" si="16"/>
        <v>1.589956132924851E-2</v>
      </c>
      <c r="S43" s="50">
        <f t="shared" si="27"/>
        <v>0.41575987053149815</v>
      </c>
      <c r="T43" s="50">
        <f t="shared" si="28"/>
        <v>-0.12958142974256898</v>
      </c>
      <c r="U43" s="50">
        <f t="shared" si="29"/>
        <v>0.65085349770721135</v>
      </c>
      <c r="V43" s="50">
        <f t="shared" si="30"/>
        <v>-3.9626450453307933E-2</v>
      </c>
      <c r="W43" s="51">
        <f t="shared" si="18"/>
        <v>1.6970384574047096E-2</v>
      </c>
    </row>
    <row r="44" spans="2:23" ht="15" thickBot="1" x14ac:dyDescent="0.4">
      <c r="B44" s="42"/>
      <c r="C44" s="14">
        <v>6</v>
      </c>
      <c r="D44" s="14">
        <v>1.8520000000000001</v>
      </c>
      <c r="E44" s="15">
        <f t="shared" si="19"/>
        <v>0.34769146947913138</v>
      </c>
      <c r="F44" s="16">
        <f t="shared" si="20"/>
        <v>0.55765506299942491</v>
      </c>
      <c r="I44" s="44"/>
      <c r="J44" s="45">
        <f t="shared" si="22"/>
        <v>0.92599999999999993</v>
      </c>
      <c r="K44" s="45">
        <f t="shared" si="23"/>
        <v>2.4848533155902786</v>
      </c>
      <c r="L44" s="45">
        <f t="shared" si="13"/>
        <v>0.34769146947913138</v>
      </c>
      <c r="M44" s="46">
        <f t="shared" si="24"/>
        <v>0.55765506299942491</v>
      </c>
      <c r="N44" s="50">
        <f t="shared" si="25"/>
        <v>6.9962171871005785E-2</v>
      </c>
      <c r="O44" s="50">
        <f t="shared" si="26"/>
        <v>0.12117803628844818</v>
      </c>
      <c r="P44" s="50">
        <f t="shared" si="14"/>
        <v>0.40243824201850292</v>
      </c>
      <c r="Q44" s="50">
        <f t="shared" si="21"/>
        <v>-2.4325250345781556E-2</v>
      </c>
      <c r="R44" s="51">
        <f t="shared" si="16"/>
        <v>1.5863598361656718E-2</v>
      </c>
      <c r="S44" s="50">
        <f t="shared" si="27"/>
        <v>0.41332050685117261</v>
      </c>
      <c r="T44" s="50">
        <f t="shared" si="28"/>
        <v>-0.12760738728002149</v>
      </c>
      <c r="U44" s="50">
        <f t="shared" si="29"/>
        <v>0.64546226441047605</v>
      </c>
      <c r="V44" s="50">
        <f t="shared" si="30"/>
        <v>-3.901475936230233E-2</v>
      </c>
      <c r="W44" s="51">
        <f t="shared" si="18"/>
        <v>1.6711997260271897E-2</v>
      </c>
    </row>
    <row r="45" spans="2:23" x14ac:dyDescent="0.35">
      <c r="B45" s="40" t="s">
        <v>10</v>
      </c>
      <c r="C45" s="29" t="s">
        <v>12</v>
      </c>
      <c r="D45" s="30" t="s">
        <v>2</v>
      </c>
      <c r="E45" s="17"/>
      <c r="F45" s="18"/>
      <c r="I45" s="44"/>
      <c r="J45" s="45"/>
      <c r="K45" s="45"/>
      <c r="L45" s="45"/>
      <c r="M45" s="46"/>
      <c r="N45" s="44"/>
      <c r="O45" s="44"/>
      <c r="P45" s="44"/>
      <c r="Q45" s="44"/>
      <c r="R45" s="44"/>
      <c r="S45" s="44"/>
      <c r="T45" s="44"/>
      <c r="U45" s="44"/>
      <c r="V45" s="44"/>
      <c r="W45" s="44"/>
    </row>
    <row r="46" spans="2:23" x14ac:dyDescent="0.35">
      <c r="B46" s="40"/>
      <c r="C46" s="19">
        <v>1</v>
      </c>
      <c r="D46" s="20">
        <v>0.50900000000000001</v>
      </c>
      <c r="E46" s="17"/>
      <c r="F46" s="18"/>
      <c r="I46" s="44"/>
      <c r="J46" s="45"/>
      <c r="K46" s="45"/>
      <c r="L46" s="45"/>
      <c r="M46" s="46"/>
      <c r="N46" s="44"/>
      <c r="O46" s="44"/>
      <c r="P46" s="44"/>
      <c r="Q46" s="44"/>
      <c r="R46" s="44"/>
      <c r="S46" s="44"/>
      <c r="T46" s="44"/>
      <c r="U46" s="44"/>
      <c r="V46" s="44"/>
      <c r="W46" s="44"/>
    </row>
    <row r="47" spans="2:23" ht="15" thickBot="1" x14ac:dyDescent="0.4">
      <c r="B47" s="40"/>
      <c r="C47" s="19">
        <v>2</v>
      </c>
      <c r="D47" s="20">
        <v>0.50900000000000001</v>
      </c>
      <c r="E47" s="17"/>
      <c r="F47" s="18"/>
      <c r="I47" s="44"/>
      <c r="J47" s="45"/>
      <c r="K47" s="45"/>
      <c r="L47" s="45"/>
      <c r="M47" s="46"/>
      <c r="N47" s="44"/>
      <c r="O47" s="44"/>
      <c r="P47" s="44"/>
      <c r="Q47" s="44"/>
      <c r="R47" s="44"/>
      <c r="S47" s="44"/>
      <c r="T47" s="44"/>
      <c r="U47" s="44"/>
      <c r="V47" s="44"/>
      <c r="W47" s="44"/>
    </row>
    <row r="48" spans="2:23" x14ac:dyDescent="0.35">
      <c r="B48" s="40"/>
      <c r="C48" s="2">
        <v>3</v>
      </c>
      <c r="D48" s="25">
        <v>0.505</v>
      </c>
      <c r="E48" s="34" t="s">
        <v>13</v>
      </c>
      <c r="F48" s="36" t="s">
        <v>14</v>
      </c>
      <c r="I48" s="44"/>
      <c r="J48" s="45"/>
      <c r="K48" s="45"/>
      <c r="L48" s="45"/>
      <c r="M48" s="46"/>
      <c r="N48" s="44"/>
      <c r="O48" s="44"/>
      <c r="P48" s="44"/>
      <c r="Q48" s="44"/>
      <c r="R48" s="44"/>
      <c r="S48" s="44"/>
      <c r="T48" s="44"/>
      <c r="U48" s="44"/>
      <c r="V48" s="44"/>
      <c r="W48" s="44"/>
    </row>
    <row r="49" spans="2:23" x14ac:dyDescent="0.35">
      <c r="B49" s="40"/>
      <c r="C49" s="2">
        <v>4</v>
      </c>
      <c r="D49" s="25">
        <v>0.505</v>
      </c>
      <c r="E49" s="35"/>
      <c r="F49" s="37"/>
      <c r="I49" s="44"/>
      <c r="J49" s="45"/>
      <c r="K49" s="45"/>
      <c r="L49" s="45"/>
      <c r="M49" s="46"/>
      <c r="N49" s="44"/>
      <c r="O49" s="44"/>
      <c r="P49" s="44"/>
      <c r="Q49" s="44"/>
      <c r="R49" s="44"/>
      <c r="S49" s="44"/>
      <c r="T49" s="44"/>
      <c r="U49" s="44"/>
      <c r="V49" s="44"/>
      <c r="W49" s="44"/>
    </row>
    <row r="50" spans="2:23" x14ac:dyDescent="0.35">
      <c r="B50" s="40"/>
      <c r="C50" s="2">
        <v>5</v>
      </c>
      <c r="D50" s="25">
        <v>0.502</v>
      </c>
      <c r="E50" s="26" t="s">
        <v>5</v>
      </c>
      <c r="F50" s="21">
        <v>9.81</v>
      </c>
      <c r="I50" s="44"/>
      <c r="J50" s="45"/>
      <c r="K50" s="45"/>
      <c r="L50" s="45"/>
      <c r="M50" s="46"/>
      <c r="N50" s="44"/>
      <c r="O50" s="44"/>
      <c r="P50" s="44"/>
      <c r="Q50" s="44"/>
      <c r="R50" s="44"/>
      <c r="S50" s="44"/>
      <c r="T50" s="44"/>
      <c r="U50" s="44"/>
      <c r="V50" s="44"/>
      <c r="W50" s="44"/>
    </row>
    <row r="51" spans="2:23" ht="15" thickBot="1" x14ac:dyDescent="0.4">
      <c r="B51" s="40"/>
      <c r="C51" s="23">
        <v>6</v>
      </c>
      <c r="D51" s="28">
        <v>0.49099999999999999</v>
      </c>
      <c r="E51" s="26" t="s">
        <v>6</v>
      </c>
      <c r="F51" s="21">
        <v>6.4219999999999999E-2</v>
      </c>
      <c r="I51" s="44"/>
      <c r="J51" s="45"/>
      <c r="K51" s="45"/>
      <c r="L51" s="45"/>
      <c r="M51" s="46"/>
      <c r="N51" s="44"/>
      <c r="O51" s="44"/>
      <c r="P51" s="44"/>
      <c r="Q51" s="44"/>
      <c r="R51" s="44"/>
      <c r="S51" s="44"/>
      <c r="T51" s="44"/>
      <c r="U51" s="44"/>
      <c r="V51" s="44"/>
      <c r="W51" s="44"/>
    </row>
    <row r="52" spans="2:23" x14ac:dyDescent="0.35">
      <c r="B52" s="38" t="s">
        <v>11</v>
      </c>
      <c r="C52" s="10" t="s">
        <v>12</v>
      </c>
      <c r="D52" s="31" t="s">
        <v>3</v>
      </c>
      <c r="E52" s="26" t="s">
        <v>7</v>
      </c>
      <c r="F52" s="21">
        <v>0.27100000000000002</v>
      </c>
      <c r="I52" s="44"/>
      <c r="J52" s="45"/>
      <c r="K52" s="45"/>
      <c r="L52" s="45"/>
      <c r="M52" s="46"/>
      <c r="N52" s="44"/>
      <c r="O52" s="44"/>
      <c r="P52" s="44"/>
      <c r="Q52" s="44"/>
      <c r="R52" s="44"/>
      <c r="S52" s="44"/>
      <c r="T52" s="44"/>
      <c r="U52" s="44"/>
      <c r="V52" s="44"/>
      <c r="W52" s="44"/>
    </row>
    <row r="53" spans="2:23" ht="15" thickBot="1" x14ac:dyDescent="0.4">
      <c r="B53" s="39"/>
      <c r="C53" s="14">
        <v>1</v>
      </c>
      <c r="D53" s="24">
        <v>0.51400000000000001</v>
      </c>
      <c r="E53" s="27" t="s">
        <v>8</v>
      </c>
      <c r="F53" s="22">
        <v>0.108</v>
      </c>
      <c r="I53" s="44"/>
      <c r="J53" s="45"/>
      <c r="K53" s="45"/>
      <c r="L53" s="45"/>
      <c r="M53" s="46"/>
      <c r="N53" s="44"/>
      <c r="O53" s="44"/>
      <c r="P53" s="44"/>
      <c r="Q53" s="44"/>
      <c r="R53" s="44"/>
      <c r="S53" s="44"/>
      <c r="T53" s="44"/>
      <c r="U53" s="44"/>
      <c r="V53" s="44"/>
      <c r="W53" s="44"/>
    </row>
    <row r="54" spans="2:23" ht="15" thickBot="1" x14ac:dyDescent="0.4">
      <c r="B54" s="32"/>
      <c r="I54" s="44"/>
      <c r="J54" s="45"/>
      <c r="K54" s="45"/>
      <c r="L54" s="45"/>
      <c r="M54" s="46"/>
      <c r="N54" s="44"/>
      <c r="O54" s="44"/>
      <c r="P54" s="44"/>
      <c r="Q54" s="44"/>
      <c r="R54" s="44"/>
      <c r="S54" s="44"/>
      <c r="T54" s="44"/>
      <c r="U54" s="44"/>
      <c r="V54" s="44"/>
      <c r="W54" s="44"/>
    </row>
    <row r="55" spans="2:23" ht="15" thickBot="1" x14ac:dyDescent="0.4">
      <c r="B55" s="6" t="s">
        <v>0</v>
      </c>
      <c r="C55" s="7">
        <v>45</v>
      </c>
      <c r="D55" s="8"/>
      <c r="E55" s="8"/>
      <c r="F55" s="9"/>
      <c r="I55" s="44"/>
      <c r="J55" s="45"/>
      <c r="K55" s="45"/>
      <c r="L55" s="45"/>
      <c r="M55" s="46"/>
      <c r="N55" s="44"/>
      <c r="O55" s="44"/>
      <c r="P55" s="44"/>
      <c r="Q55" s="44"/>
      <c r="R55" s="44"/>
      <c r="S55" s="44"/>
      <c r="T55" s="44"/>
      <c r="U55" s="44"/>
      <c r="V55" s="44"/>
      <c r="W55" s="44"/>
    </row>
    <row r="56" spans="2:23" x14ac:dyDescent="0.35">
      <c r="B56" s="41" t="s">
        <v>9</v>
      </c>
      <c r="C56" s="10" t="s">
        <v>12</v>
      </c>
      <c r="D56" s="10" t="s">
        <v>15</v>
      </c>
      <c r="E56" s="10" t="s">
        <v>16</v>
      </c>
      <c r="F56" s="11" t="s">
        <v>1</v>
      </c>
      <c r="I56" s="44" t="s">
        <v>21</v>
      </c>
      <c r="J56" s="44" t="s">
        <v>22</v>
      </c>
      <c r="K56" s="44" t="s">
        <v>23</v>
      </c>
      <c r="L56" s="44" t="s">
        <v>24</v>
      </c>
      <c r="M56" s="44" t="s">
        <v>25</v>
      </c>
      <c r="N56" s="44" t="s">
        <v>26</v>
      </c>
      <c r="O56" s="44" t="s">
        <v>27</v>
      </c>
      <c r="P56" s="44" t="s">
        <v>28</v>
      </c>
      <c r="Q56" s="44" t="s">
        <v>29</v>
      </c>
      <c r="R56" s="47" t="s">
        <v>30</v>
      </c>
      <c r="S56" s="44" t="s">
        <v>31</v>
      </c>
      <c r="T56" s="44" t="s">
        <v>32</v>
      </c>
      <c r="U56" s="44" t="s">
        <v>33</v>
      </c>
      <c r="V56" s="44" t="s">
        <v>34</v>
      </c>
      <c r="W56" s="47" t="s">
        <v>35</v>
      </c>
    </row>
    <row r="57" spans="2:23" x14ac:dyDescent="0.35">
      <c r="B57" s="40"/>
      <c r="C57" s="2">
        <v>1</v>
      </c>
      <c r="D57" s="2">
        <v>1.6120000000000001</v>
      </c>
      <c r="E57" s="12">
        <f t="shared" ref="E57:E62" si="31">(D57*SIN(RADIANS($C$55))+SQRT((D57*SIN(RADIANS($C$55)))^2+2*$F$14*$F$16))/$F$14</f>
        <v>0.37839668897376444</v>
      </c>
      <c r="F57" s="13">
        <f t="shared" ref="F57:F62" si="32">D57*E57*COS(RADIANS($C$55))</f>
        <v>0.43131778598003989</v>
      </c>
      <c r="H57">
        <v>45</v>
      </c>
      <c r="I57" s="44"/>
      <c r="J57" s="45">
        <f>D57*SIN(RADIANS($H$57))</f>
        <v>1.1398561312727147</v>
      </c>
      <c r="K57" s="45">
        <f>SQRT((J57^2)+2*$F$14*$F$16)</f>
        <v>2.5722153875599143</v>
      </c>
      <c r="L57" s="45">
        <f t="shared" si="13"/>
        <v>0.37839668897376444</v>
      </c>
      <c r="M57" s="46">
        <f>D57*COS(RADIANS($H$57))*L57</f>
        <v>0.43131778598003984</v>
      </c>
      <c r="N57" s="50">
        <f>(SIN(RADIANS($H$57))/$F$14)*(1+(J57/K57))</f>
        <v>0.10402195167866878</v>
      </c>
      <c r="O57" s="50">
        <f>(COS(RADIANS($H$57))/$F$14)*(1+(J57/K57))</f>
        <v>0.1040219516786688</v>
      </c>
      <c r="P57" s="50">
        <f t="shared" si="14"/>
        <v>0.38876993149031425</v>
      </c>
      <c r="Q57" s="50">
        <f t="shared" si="21"/>
        <v>-2.7832827476033564E-2</v>
      </c>
      <c r="R57" s="51">
        <f t="shared" si="16"/>
        <v>1.3618226347137458E-2</v>
      </c>
      <c r="S57" s="50">
        <f>COS(RADIANS($H$57))*L57+D57*COS(RADIANS($H$57))*N57</f>
        <v>0.38613692415977041</v>
      </c>
      <c r="T57" s="50">
        <f>-D57*SIN(RADIANS($H$57))*L57+D57*COS(RADIANS($H$57))*O57</f>
        <v>-0.31274772657215516</v>
      </c>
      <c r="U57" s="50">
        <f>D57*COS(RADIANS($H$57))*P57</f>
        <v>0.44314179006370791</v>
      </c>
      <c r="V57" s="50">
        <f>D57*COS(RADIANS($H$57))*Q57</f>
        <v>-3.1725419049212535E-2</v>
      </c>
      <c r="W57" s="51">
        <f t="shared" si="18"/>
        <v>4.0941002247564036E-2</v>
      </c>
    </row>
    <row r="58" spans="2:23" x14ac:dyDescent="0.35">
      <c r="B58" s="40"/>
      <c r="C58" s="2">
        <v>2</v>
      </c>
      <c r="D58" s="2">
        <v>1.65</v>
      </c>
      <c r="E58" s="12">
        <f t="shared" si="31"/>
        <v>0.38236096691151988</v>
      </c>
      <c r="F58" s="13">
        <f t="shared" si="32"/>
        <v>0.44611055373089836</v>
      </c>
      <c r="I58" s="44"/>
      <c r="J58" s="45">
        <f t="shared" ref="J58:J62" si="33">D58*SIN(RADIANS($H$57))</f>
        <v>1.1667261889578033</v>
      </c>
      <c r="K58" s="45">
        <f t="shared" si="12"/>
        <v>2.5842348964442068</v>
      </c>
      <c r="L58" s="45">
        <f t="shared" si="13"/>
        <v>0.38236096691151988</v>
      </c>
      <c r="M58" s="46">
        <f t="shared" ref="M58:M62" si="34">D58*COS(RADIANS($H$57))*L58</f>
        <v>0.44611055373089836</v>
      </c>
      <c r="N58" s="50">
        <f t="shared" ref="N58:N62" si="35">(SIN(RADIANS($H$57))/$F$14)*(1+(J58/K58))</f>
        <v>0.10462285488683634</v>
      </c>
      <c r="O58" s="50">
        <f t="shared" ref="O58:O62" si="36">(COS(RADIANS($H$57))/$F$14)*(1+(J58/K58))</f>
        <v>0.10462285488683636</v>
      </c>
      <c r="P58" s="50">
        <f t="shared" si="14"/>
        <v>0.38696172757977843</v>
      </c>
      <c r="Q58" s="50">
        <f t="shared" si="21"/>
        <v>-2.8286884682711511E-2</v>
      </c>
      <c r="R58" s="51">
        <f t="shared" si="16"/>
        <v>1.3696865919626572E-2</v>
      </c>
      <c r="S58" s="50">
        <f t="shared" ref="S58:S62" si="37">COS(RADIANS($H$57))*L58+D58*COS(RADIANS($H$57))*N58</f>
        <v>0.39243625732418469</v>
      </c>
      <c r="T58" s="50">
        <f t="shared" ref="T58:T62" si="38">-D58*SIN(RADIANS($H$57))*L58+D58*COS(RADIANS($H$57))*O58</f>
        <v>-0.32404432897089452</v>
      </c>
      <c r="U58" s="50">
        <f t="shared" ref="U58:U62" si="39">D58*COS(RADIANS($H$57))*P58</f>
        <v>0.45147838169168258</v>
      </c>
      <c r="V58" s="50">
        <f t="shared" ref="V58:V62" si="40">D58*COS(RADIANS($H$57))*Q58</f>
        <v>-3.3003049163348862E-2</v>
      </c>
      <c r="W58" s="51">
        <f t="shared" si="18"/>
        <v>4.2419719450388041E-2</v>
      </c>
    </row>
    <row r="59" spans="2:23" x14ac:dyDescent="0.35">
      <c r="B59" s="40"/>
      <c r="C59" s="2">
        <v>3</v>
      </c>
      <c r="D59" s="2">
        <v>1.661</v>
      </c>
      <c r="E59" s="12">
        <f t="shared" si="31"/>
        <v>0.3835127670355214</v>
      </c>
      <c r="F59" s="13">
        <f t="shared" si="32"/>
        <v>0.45043741836068263</v>
      </c>
      <c r="I59" s="44"/>
      <c r="J59" s="45">
        <f t="shared" si="33"/>
        <v>1.1745043635508554</v>
      </c>
      <c r="K59" s="45">
        <f t="shared" si="12"/>
        <v>2.5877558810676096</v>
      </c>
      <c r="L59" s="45">
        <f t="shared" si="13"/>
        <v>0.3835127670355214</v>
      </c>
      <c r="M59" s="46">
        <f t="shared" si="34"/>
        <v>0.45043741836068263</v>
      </c>
      <c r="N59" s="50">
        <f t="shared" si="35"/>
        <v>0.10479523212620558</v>
      </c>
      <c r="O59" s="50">
        <f t="shared" si="36"/>
        <v>0.10479523212620559</v>
      </c>
      <c r="P59" s="50">
        <f t="shared" si="14"/>
        <v>0.38643521489648325</v>
      </c>
      <c r="Q59" s="50">
        <f t="shared" si="21"/>
        <v>-2.8418840346439801E-2</v>
      </c>
      <c r="R59" s="51">
        <f t="shared" si="16"/>
        <v>1.3719424748103341E-2</v>
      </c>
      <c r="S59" s="50">
        <f t="shared" si="37"/>
        <v>0.39426693565398707</v>
      </c>
      <c r="T59" s="50">
        <f t="shared" si="38"/>
        <v>-0.32735496094912925</v>
      </c>
      <c r="U59" s="50">
        <f t="shared" si="39"/>
        <v>0.45386984612563219</v>
      </c>
      <c r="V59" s="50">
        <f t="shared" si="40"/>
        <v>-3.3378051993948658E-2</v>
      </c>
      <c r="W59" s="51">
        <f t="shared" si="18"/>
        <v>4.2853078850298744E-2</v>
      </c>
    </row>
    <row r="60" spans="2:23" x14ac:dyDescent="0.35">
      <c r="B60" s="40"/>
      <c r="C60" s="2">
        <v>4</v>
      </c>
      <c r="D60" s="2">
        <v>1.7350000000000001</v>
      </c>
      <c r="E60" s="12">
        <f t="shared" si="31"/>
        <v>0.39131004007280312</v>
      </c>
      <c r="F60" s="13">
        <f t="shared" si="32"/>
        <v>0.48007100030002497</v>
      </c>
      <c r="I60" s="44"/>
      <c r="J60" s="45">
        <f t="shared" si="33"/>
        <v>1.22683026535866</v>
      </c>
      <c r="K60" s="45">
        <f t="shared" si="12"/>
        <v>2.6119212277555386</v>
      </c>
      <c r="L60" s="45">
        <f t="shared" si="13"/>
        <v>0.39131004007280312</v>
      </c>
      <c r="M60" s="46">
        <f t="shared" si="34"/>
        <v>0.48007100030002492</v>
      </c>
      <c r="N60" s="50">
        <f t="shared" si="35"/>
        <v>0.10593657264297715</v>
      </c>
      <c r="O60" s="50">
        <f t="shared" si="36"/>
        <v>0.10593657264297716</v>
      </c>
      <c r="P60" s="50">
        <f t="shared" si="14"/>
        <v>0.38285993826058617</v>
      </c>
      <c r="Q60" s="50">
        <f t="shared" si="21"/>
        <v>-2.9312435963729278E-2</v>
      </c>
      <c r="R60" s="51">
        <f t="shared" si="16"/>
        <v>1.3868790784040278E-2</v>
      </c>
      <c r="S60" s="50">
        <f t="shared" si="37"/>
        <v>0.4066641764086294</v>
      </c>
      <c r="T60" s="50">
        <f t="shared" si="38"/>
        <v>-0.35010480677325428</v>
      </c>
      <c r="U60" s="50">
        <f t="shared" si="39"/>
        <v>0.46970415965143514</v>
      </c>
      <c r="V60" s="50">
        <f t="shared" si="40"/>
        <v>-3.5961383591690717E-2</v>
      </c>
      <c r="W60" s="51">
        <f t="shared" si="18"/>
        <v>4.5831018019552854E-2</v>
      </c>
    </row>
    <row r="61" spans="2:23" x14ac:dyDescent="0.35">
      <c r="B61" s="40"/>
      <c r="C61" s="2">
        <v>5</v>
      </c>
      <c r="D61" s="2">
        <v>1.742</v>
      </c>
      <c r="E61" s="12">
        <f t="shared" si="31"/>
        <v>0.3920519683602241</v>
      </c>
      <c r="F61" s="13">
        <f t="shared" si="32"/>
        <v>0.48292177861559404</v>
      </c>
      <c r="I61" s="44"/>
      <c r="J61" s="45">
        <f t="shared" si="33"/>
        <v>1.2317800128269656</v>
      </c>
      <c r="K61" s="45">
        <f t="shared" si="12"/>
        <v>2.6142497967868334</v>
      </c>
      <c r="L61" s="45">
        <f t="shared" si="13"/>
        <v>0.3920519683602241</v>
      </c>
      <c r="M61" s="46">
        <f t="shared" si="34"/>
        <v>0.48292177861559404</v>
      </c>
      <c r="N61" s="50">
        <f t="shared" si="35"/>
        <v>0.10604289067776985</v>
      </c>
      <c r="O61" s="50">
        <f t="shared" si="36"/>
        <v>0.10604289067776987</v>
      </c>
      <c r="P61" s="50">
        <f t="shared" si="14"/>
        <v>0.38251891660433407</v>
      </c>
      <c r="Q61" s="50">
        <f t="shared" si="21"/>
        <v>-2.9397486438374067E-2</v>
      </c>
      <c r="R61" s="51">
        <f t="shared" si="16"/>
        <v>1.3882704513694173E-2</v>
      </c>
      <c r="S61" s="50">
        <f t="shared" si="37"/>
        <v>0.40784411864432013</v>
      </c>
      <c r="T61" s="50">
        <f t="shared" si="38"/>
        <v>-0.35230026537632203</v>
      </c>
      <c r="U61" s="50">
        <f t="shared" si="39"/>
        <v>0.47117915600144367</v>
      </c>
      <c r="V61" s="50">
        <f t="shared" si="40"/>
        <v>-3.6211236222140959E-2</v>
      </c>
      <c r="W61" s="51">
        <f t="shared" si="18"/>
        <v>4.6118402067035991E-2</v>
      </c>
    </row>
    <row r="62" spans="2:23" ht="15" thickBot="1" x14ac:dyDescent="0.4">
      <c r="B62" s="42"/>
      <c r="C62" s="14">
        <v>6</v>
      </c>
      <c r="D62" s="14">
        <v>1.7490000000000001</v>
      </c>
      <c r="E62" s="15">
        <f t="shared" si="31"/>
        <v>0.3927946398792429</v>
      </c>
      <c r="F62" s="16">
        <f t="shared" si="32"/>
        <v>0.48578082082312374</v>
      </c>
      <c r="I62" s="44"/>
      <c r="J62" s="45">
        <f t="shared" si="33"/>
        <v>1.2367297602952716</v>
      </c>
      <c r="K62" s="45">
        <f t="shared" si="12"/>
        <v>2.6165856569201016</v>
      </c>
      <c r="L62" s="45">
        <f t="shared" si="13"/>
        <v>0.3927946398792429</v>
      </c>
      <c r="M62" s="46">
        <f t="shared" si="34"/>
        <v>0.48578082082312368</v>
      </c>
      <c r="N62" s="50">
        <f t="shared" si="35"/>
        <v>0.10614892454897443</v>
      </c>
      <c r="O62" s="50">
        <f t="shared" si="36"/>
        <v>0.10614892454897444</v>
      </c>
      <c r="P62" s="50">
        <f t="shared" si="14"/>
        <v>0.38217743697986473</v>
      </c>
      <c r="Q62" s="50">
        <f t="shared" si="21"/>
        <v>-2.9482625326982627E-2</v>
      </c>
      <c r="R62" s="51">
        <f t="shared" si="16"/>
        <v>1.3896581055155673E-2</v>
      </c>
      <c r="S62" s="50">
        <f t="shared" si="37"/>
        <v>0.40902528748539457</v>
      </c>
      <c r="T62" s="50">
        <f t="shared" si="38"/>
        <v>-0.3545032868100696</v>
      </c>
      <c r="U62" s="50">
        <f t="shared" si="39"/>
        <v>0.47265021002636948</v>
      </c>
      <c r="V62" s="50">
        <f t="shared" si="40"/>
        <v>-3.6462040153514536E-2</v>
      </c>
      <c r="W62" s="51">
        <f t="shared" si="18"/>
        <v>4.6406776087996281E-2</v>
      </c>
    </row>
    <row r="63" spans="2:23" x14ac:dyDescent="0.35">
      <c r="B63" s="40" t="s">
        <v>10</v>
      </c>
      <c r="C63" s="29" t="s">
        <v>12</v>
      </c>
      <c r="D63" s="30" t="s">
        <v>2</v>
      </c>
      <c r="E63" s="17"/>
      <c r="F63" s="18"/>
      <c r="J63" s="43"/>
      <c r="K63" s="43"/>
      <c r="L63" s="43"/>
      <c r="M63" s="5"/>
    </row>
    <row r="64" spans="2:23" x14ac:dyDescent="0.35">
      <c r="B64" s="40"/>
      <c r="C64" s="19">
        <v>1</v>
      </c>
      <c r="D64" s="20">
        <v>0.49099999999999999</v>
      </c>
      <c r="E64" s="17"/>
      <c r="F64" s="18"/>
      <c r="J64" s="43"/>
      <c r="K64" s="43"/>
      <c r="L64" s="43"/>
      <c r="M64" s="5"/>
    </row>
    <row r="65" spans="2:13" ht="15" thickBot="1" x14ac:dyDescent="0.4">
      <c r="B65" s="40"/>
      <c r="C65" s="19">
        <v>2</v>
      </c>
      <c r="D65" s="20">
        <v>0.52100000000000002</v>
      </c>
      <c r="E65" s="17"/>
      <c r="F65" s="18"/>
      <c r="J65" s="43"/>
      <c r="K65" s="43"/>
      <c r="L65" s="43"/>
      <c r="M65" s="5"/>
    </row>
    <row r="66" spans="2:13" x14ac:dyDescent="0.35">
      <c r="B66" s="40"/>
      <c r="C66" s="2">
        <v>3</v>
      </c>
      <c r="D66" s="25">
        <v>0.53600000000000003</v>
      </c>
      <c r="E66" s="34" t="s">
        <v>13</v>
      </c>
      <c r="F66" s="36" t="s">
        <v>14</v>
      </c>
      <c r="J66" s="43"/>
      <c r="K66" s="43"/>
      <c r="L66" s="43"/>
      <c r="M66" s="5"/>
    </row>
    <row r="67" spans="2:13" x14ac:dyDescent="0.35">
      <c r="B67" s="40"/>
      <c r="C67" s="2">
        <v>4</v>
      </c>
      <c r="D67" s="25">
        <v>0.53600000000000003</v>
      </c>
      <c r="E67" s="35"/>
      <c r="F67" s="37"/>
      <c r="J67" s="43"/>
      <c r="K67" s="43"/>
      <c r="L67" s="43"/>
      <c r="M67" s="5"/>
    </row>
    <row r="68" spans="2:13" x14ac:dyDescent="0.35">
      <c r="B68" s="40"/>
      <c r="C68" s="2">
        <v>5</v>
      </c>
      <c r="D68" s="25">
        <v>0.53600000000000003</v>
      </c>
      <c r="E68" s="26" t="s">
        <v>5</v>
      </c>
      <c r="F68" s="21">
        <v>9.81</v>
      </c>
      <c r="J68" s="43"/>
      <c r="K68" s="43"/>
      <c r="L68" s="43"/>
      <c r="M68" s="5"/>
    </row>
    <row r="69" spans="2:13" ht="15" thickBot="1" x14ac:dyDescent="0.4">
      <c r="B69" s="40"/>
      <c r="C69" s="23">
        <v>6</v>
      </c>
      <c r="D69" s="28">
        <v>0.53600000000000003</v>
      </c>
      <c r="E69" s="26" t="s">
        <v>6</v>
      </c>
      <c r="F69" s="21">
        <v>6.4219999999999999E-2</v>
      </c>
      <c r="J69" s="43"/>
      <c r="K69" s="43"/>
      <c r="L69" s="43"/>
      <c r="M69" s="5"/>
    </row>
    <row r="70" spans="2:13" x14ac:dyDescent="0.35">
      <c r="B70" s="38" t="s">
        <v>11</v>
      </c>
      <c r="C70" s="10" t="s">
        <v>12</v>
      </c>
      <c r="D70" s="31" t="s">
        <v>3</v>
      </c>
      <c r="E70" s="26" t="s">
        <v>7</v>
      </c>
      <c r="F70" s="21">
        <v>0.27100000000000002</v>
      </c>
      <c r="J70" s="43"/>
      <c r="K70" s="43"/>
      <c r="L70" s="43"/>
      <c r="M70" s="5"/>
    </row>
    <row r="71" spans="2:13" ht="15" thickBot="1" x14ac:dyDescent="0.4">
      <c r="B71" s="39"/>
      <c r="C71" s="14">
        <v>1</v>
      </c>
      <c r="D71" s="24">
        <v>0.52200000000000002</v>
      </c>
      <c r="E71" s="27" t="s">
        <v>8</v>
      </c>
      <c r="F71" s="22">
        <v>0.108</v>
      </c>
      <c r="J71" s="43"/>
      <c r="K71" s="43"/>
      <c r="L71" s="43"/>
      <c r="M71" s="5"/>
    </row>
  </sheetData>
  <mergeCells count="20">
    <mergeCell ref="B2:B8"/>
    <mergeCell ref="B38:B44"/>
    <mergeCell ref="B45:B51"/>
    <mergeCell ref="B52:B53"/>
    <mergeCell ref="B20:B26"/>
    <mergeCell ref="B34:B35"/>
    <mergeCell ref="B9:B15"/>
    <mergeCell ref="B16:B17"/>
    <mergeCell ref="E12:E13"/>
    <mergeCell ref="F12:F13"/>
    <mergeCell ref="E30:E31"/>
    <mergeCell ref="B70:B71"/>
    <mergeCell ref="B63:B69"/>
    <mergeCell ref="B56:B62"/>
    <mergeCell ref="B27:B33"/>
    <mergeCell ref="F30:F31"/>
    <mergeCell ref="E48:E49"/>
    <mergeCell ref="F48:F49"/>
    <mergeCell ref="E66:E67"/>
    <mergeCell ref="F66:F6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 USM</dc:creator>
  <cp:lastModifiedBy>Paul Berdichewsky</cp:lastModifiedBy>
  <dcterms:created xsi:type="dcterms:W3CDTF">2025-08-27T13:50:31Z</dcterms:created>
  <dcterms:modified xsi:type="dcterms:W3CDTF">2025-09-04T00:56:50Z</dcterms:modified>
</cp:coreProperties>
</file>